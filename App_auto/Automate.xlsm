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\Au\Apps\Ahk\App_auto\"/>
    </mc:Choice>
  </mc:AlternateContent>
  <xr:revisionPtr revIDLastSave="0" documentId="13_ncr:1_{2AC4F913-CB1C-4D3F-B39A-E0B60080BAC1}" xr6:coauthVersionLast="45" xr6:coauthVersionMax="45" xr10:uidLastSave="{00000000-0000-0000-0000-000000000000}"/>
  <bookViews>
    <workbookView xWindow="-108" yWindow="840" windowWidth="14904" windowHeight="8052" tabRatio="901" activeTab="9" xr2:uid="{00000000-000D-0000-FFFF-FFFF00000000}"/>
  </bookViews>
  <sheets>
    <sheet name="1_win" sheetId="75" r:id="rId1"/>
    <sheet name="1_app" sheetId="76" r:id="rId2"/>
    <sheet name="var.ini" sheetId="73" r:id="rId3"/>
    <sheet name="top.ini" sheetId="80" r:id="rId4"/>
    <sheet name="3_top" sheetId="67" r:id="rId5"/>
    <sheet name="2_win" sheetId="69" r:id="rId6"/>
    <sheet name="3_win" sheetId="66" r:id="rId7"/>
    <sheet name="2_app" sheetId="72" r:id="rId8"/>
    <sheet name="3_app" sheetId="63" r:id="rId9"/>
    <sheet name="3_sap" sheetId="64" r:id="rId10"/>
    <sheet name="HK" sheetId="77" r:id="rId11"/>
    <sheet name="HS" sheetId="79" r:id="rId12"/>
  </sheets>
  <definedNames>
    <definedName name="filename" localSheetId="3">SUBSTITUTE(LEFT(CELL("filename",top.ini!XFC1048550),FIND("]",CELL("filename",top.ini!XFC1048550))-1),"[","")</definedName>
    <definedName name="filename">SUBSTITUTE(LEFT(CELL("filename",var.ini!XFC1048550),FIND("]",CELL("filename",var.ini!XFC1048550))-1),"[","")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LEFT(CELL("filename",'3_top'!XEV1048549),FIND("[",CELL("filename",'3_top'!XEV1048549))-1)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66" l="1"/>
  <c r="D26" i="66"/>
  <c r="B23" i="66" l="1"/>
  <c r="D24" i="66"/>
  <c r="D25" i="66"/>
  <c r="B18" i="66"/>
  <c r="B43" i="63" l="1"/>
  <c r="D49" i="66" l="1"/>
  <c r="D30" i="63" l="1"/>
  <c r="D16" i="72"/>
  <c r="D15" i="72"/>
  <c r="D14" i="72"/>
  <c r="D11" i="72"/>
  <c r="D10" i="72"/>
  <c r="D9" i="72"/>
  <c r="D8" i="72"/>
  <c r="D7" i="72"/>
  <c r="D50" i="66"/>
  <c r="D48" i="66"/>
  <c r="D47" i="66"/>
  <c r="D46" i="66"/>
  <c r="D45" i="66"/>
  <c r="D44" i="66"/>
  <c r="D43" i="66"/>
  <c r="D42" i="66"/>
  <c r="D41" i="66"/>
  <c r="D40" i="66"/>
  <c r="D39" i="66"/>
  <c r="D38" i="66"/>
  <c r="D10" i="66"/>
  <c r="D9" i="66"/>
  <c r="D8" i="66"/>
  <c r="D7" i="66"/>
  <c r="D6" i="66"/>
  <c r="D5" i="66"/>
  <c r="D4" i="66"/>
  <c r="D15" i="69"/>
  <c r="D14" i="69"/>
  <c r="D11" i="69"/>
  <c r="D10" i="69"/>
  <c r="D9" i="69"/>
  <c r="D8" i="69"/>
  <c r="D7" i="69"/>
  <c r="D3" i="75"/>
  <c r="D3" i="66"/>
  <c r="B22" i="67" l="1"/>
  <c r="B23" i="67"/>
  <c r="B13" i="69" l="1"/>
  <c r="B4" i="69"/>
  <c r="B2" i="69"/>
  <c r="B2" i="66"/>
  <c r="B37" i="66"/>
  <c r="B16" i="63" l="1"/>
  <c r="B8" i="64" l="1"/>
  <c r="B2" i="64"/>
  <c r="B13" i="72"/>
  <c r="B3" i="72"/>
  <c r="B11" i="63"/>
  <c r="B5" i="63"/>
  <c r="B2" i="63"/>
  <c r="B37" i="63"/>
  <c r="B40" i="63"/>
  <c r="B32" i="63"/>
  <c r="B26" i="63"/>
  <c r="B20" i="63"/>
  <c r="B23" i="63"/>
  <c r="B52" i="66"/>
  <c r="C23" i="73" l="1"/>
  <c r="C25" i="73" s="1"/>
  <c r="C24" i="73" l="1"/>
  <c r="C27" i="73"/>
  <c r="C26" i="73"/>
  <c r="C9" i="73" l="1" a="1"/>
  <c r="C9" i="73" s="1"/>
  <c r="B7" i="67" l="1" a="1"/>
  <c r="B7" i="67" s="1"/>
  <c r="B6" i="67" a="1"/>
  <c r="B6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<sst xmlns="http://schemas.openxmlformats.org/spreadsheetml/2006/main" count="1677" uniqueCount="813">
  <si>
    <t>Stat</t>
  </si>
  <si>
    <t>x</t>
  </si>
  <si>
    <t>acfarma dev</t>
  </si>
  <si>
    <t>acfarma qas</t>
  </si>
  <si>
    <t>acfarma prd</t>
  </si>
  <si>
    <t>aib dev</t>
  </si>
  <si>
    <t>aib qas</t>
  </si>
  <si>
    <t>aib prd</t>
  </si>
  <si>
    <t>austral dev</t>
  </si>
  <si>
    <t>austral qas</t>
  </si>
  <si>
    <t>austral prd</t>
  </si>
  <si>
    <t>beta dev</t>
  </si>
  <si>
    <t>beta qas</t>
  </si>
  <si>
    <t>beta prd</t>
  </si>
  <si>
    <t>c2e2 dev 400</t>
  </si>
  <si>
    <t>c2e2 dev 450</t>
  </si>
  <si>
    <t>cew dev</t>
  </si>
  <si>
    <t>cew qas</t>
  </si>
  <si>
    <t>cew prd</t>
  </si>
  <si>
    <t>chilca dev</t>
  </si>
  <si>
    <t>chilca qas</t>
  </si>
  <si>
    <t>chilca prd</t>
  </si>
  <si>
    <t>cmh dev</t>
  </si>
  <si>
    <t>cmh qas</t>
  </si>
  <si>
    <t>cmh prd</t>
  </si>
  <si>
    <t>danper dev</t>
  </si>
  <si>
    <t>danper qas</t>
  </si>
  <si>
    <t>danper prd</t>
  </si>
  <si>
    <t>exalmar dev</t>
  </si>
  <si>
    <t>exalmar qas</t>
  </si>
  <si>
    <t>exalmar prd</t>
  </si>
  <si>
    <t>inka dev</t>
  </si>
  <si>
    <t>inka qas</t>
  </si>
  <si>
    <t>inka prd</t>
  </si>
  <si>
    <t>ipesa dev</t>
  </si>
  <si>
    <t>ipesa qas</t>
  </si>
  <si>
    <t>ipesa prd</t>
  </si>
  <si>
    <t>gandules dev</t>
  </si>
  <si>
    <t>gandules qas</t>
  </si>
  <si>
    <t>gandules prd</t>
  </si>
  <si>
    <t>kmmp dev</t>
  </si>
  <si>
    <t>kmmp qas</t>
  </si>
  <si>
    <t>kmmp prd</t>
  </si>
  <si>
    <t>minsur dev</t>
  </si>
  <si>
    <t>minsur qas</t>
  </si>
  <si>
    <t>minsur prd</t>
  </si>
  <si>
    <t>medrock dev</t>
  </si>
  <si>
    <t>medrock qas</t>
  </si>
  <si>
    <t>medrock prd</t>
  </si>
  <si>
    <t>modasa dev</t>
  </si>
  <si>
    <t>modasa qas</t>
  </si>
  <si>
    <t>modasa prd</t>
  </si>
  <si>
    <t>molicop dev</t>
  </si>
  <si>
    <t>molicop qas</t>
  </si>
  <si>
    <t>molicop prd</t>
  </si>
  <si>
    <t>naviera dev</t>
  </si>
  <si>
    <t>naviera qas</t>
  </si>
  <si>
    <t>naviera prd</t>
  </si>
  <si>
    <t>pedregal dev</t>
  </si>
  <si>
    <t>pedregal qas</t>
  </si>
  <si>
    <t>pedregal prd</t>
  </si>
  <si>
    <t>piramide dev</t>
  </si>
  <si>
    <t>piramide qas</t>
  </si>
  <si>
    <t>piramide prd</t>
  </si>
  <si>
    <t>petramas dev</t>
  </si>
  <si>
    <t>petramas qas</t>
  </si>
  <si>
    <t>petramas prd</t>
  </si>
  <si>
    <t>quimpac dev</t>
  </si>
  <si>
    <t>quimpac qas</t>
  </si>
  <si>
    <t>quimpac prd</t>
  </si>
  <si>
    <t>unacem dev</t>
  </si>
  <si>
    <t>unacem qas</t>
  </si>
  <si>
    <t>unacem prd</t>
  </si>
  <si>
    <t>resemin dev</t>
  </si>
  <si>
    <t>resemin qas</t>
  </si>
  <si>
    <t>resemin prd</t>
  </si>
  <si>
    <t>rosado dev</t>
  </si>
  <si>
    <t>rosado qas</t>
  </si>
  <si>
    <t>rosado2 dev</t>
  </si>
  <si>
    <t>rosado2 qas</t>
  </si>
  <si>
    <t>yichang dev</t>
  </si>
  <si>
    <t>yichang qas</t>
  </si>
  <si>
    <t>yichang prd</t>
  </si>
  <si>
    <t>osss dev</t>
  </si>
  <si>
    <t>osss prd</t>
  </si>
  <si>
    <t>omnia dev</t>
  </si>
  <si>
    <t>omnia prd</t>
  </si>
  <si>
    <t>;ABAP Fav</t>
  </si>
  <si>
    <t>;FI</t>
  </si>
  <si>
    <t>;CO</t>
  </si>
  <si>
    <t>;MM</t>
  </si>
  <si>
    <t>;SD</t>
  </si>
  <si>
    <t>;CS</t>
  </si>
  <si>
    <t>;PP</t>
  </si>
  <si>
    <t>;PM</t>
  </si>
  <si>
    <t>;ABAP</t>
  </si>
  <si>
    <t>;ZOSFE</t>
  </si>
  <si>
    <t>;ZOSFAR</t>
  </si>
  <si>
    <t>nbtel dev</t>
  </si>
  <si>
    <t>;Code</t>
  </si>
  <si>
    <t>;Hotkey</t>
  </si>
  <si>
    <t>$ESC</t>
  </si>
  <si>
    <t>!enter</t>
  </si>
  <si>
    <t>!7</t>
  </si>
  <si>
    <t>!8</t>
  </si>
  <si>
    <t>!9</t>
  </si>
  <si>
    <t>!left</t>
  </si>
  <si>
    <t>!right</t>
  </si>
  <si>
    <t>!n</t>
  </si>
  <si>
    <t>::</t>
  </si>
  <si>
    <t>!q</t>
  </si>
  <si>
    <t>^+k</t>
  </si>
  <si>
    <t>^WheelDown</t>
  </si>
  <si>
    <t>^WheelUp</t>
  </si>
  <si>
    <t>^b</t>
  </si>
  <si>
    <t>Return</t>
  </si>
  <si>
    <t>^+l</t>
  </si>
  <si>
    <t>:*b0:ac1</t>
  </si>
  <si>
    <t>:*b0:ac2</t>
  </si>
  <si>
    <t>:*b0:ac3</t>
  </si>
  <si>
    <t>:*b0:ai1</t>
  </si>
  <si>
    <t>:*b0:ai2</t>
  </si>
  <si>
    <t>:*b0:ai3</t>
  </si>
  <si>
    <t>:*b0:au1</t>
  </si>
  <si>
    <t>:*b0:au2</t>
  </si>
  <si>
    <t>:*b0:au3</t>
  </si>
  <si>
    <t>:*b0:be1</t>
  </si>
  <si>
    <t>:*b0:be2</t>
  </si>
  <si>
    <t>:*b0:be3</t>
  </si>
  <si>
    <t>:*b0:c21</t>
  </si>
  <si>
    <t>:*b0:c22</t>
  </si>
  <si>
    <t>:*b0:ce1</t>
  </si>
  <si>
    <t>:*b0:ce2</t>
  </si>
  <si>
    <t>:*b0:ce3</t>
  </si>
  <si>
    <t>:*b0:ch1</t>
  </si>
  <si>
    <t>:*b0:ch2</t>
  </si>
  <si>
    <t>:*b0:ch3</t>
  </si>
  <si>
    <t>:*b0:cm1</t>
  </si>
  <si>
    <t>:*b0:cm2</t>
  </si>
  <si>
    <t>:*b0:cm3</t>
  </si>
  <si>
    <t>:*b0:da1</t>
  </si>
  <si>
    <t>:*b0:da2</t>
  </si>
  <si>
    <t>:*b0:da3</t>
  </si>
  <si>
    <t>:*b0:ex1</t>
  </si>
  <si>
    <t>:*b0:ex2</t>
  </si>
  <si>
    <t>:*b0:ex3</t>
  </si>
  <si>
    <t>:*b0:in1</t>
  </si>
  <si>
    <t>:*b0:in2</t>
  </si>
  <si>
    <t>:*b0:in3</t>
  </si>
  <si>
    <t>:*b0:ip1</t>
  </si>
  <si>
    <t>:*b0:ip2</t>
  </si>
  <si>
    <t>:*b0:ip3</t>
  </si>
  <si>
    <t>:*b0:ga1</t>
  </si>
  <si>
    <t>:*b0:ga2</t>
  </si>
  <si>
    <t>:*b0:ga3</t>
  </si>
  <si>
    <t>:*b0:km1</t>
  </si>
  <si>
    <t>:*b0:km2</t>
  </si>
  <si>
    <t>:*b0:km3</t>
  </si>
  <si>
    <t>:*b0:mi1</t>
  </si>
  <si>
    <t>:*b0:mi2</t>
  </si>
  <si>
    <t>:*b0:mi3</t>
  </si>
  <si>
    <t>:*b0:me1</t>
  </si>
  <si>
    <t>:*b0:me2</t>
  </si>
  <si>
    <t>:*b0:me3</t>
  </si>
  <si>
    <t>:*b0:mo1</t>
  </si>
  <si>
    <t>:*b0:mo2</t>
  </si>
  <si>
    <t>:*b0:mo3</t>
  </si>
  <si>
    <t>:*b0:ml1</t>
  </si>
  <si>
    <t>:*b0:ml2</t>
  </si>
  <si>
    <t>:*b0:ml3</t>
  </si>
  <si>
    <t>:*b0:na1</t>
  </si>
  <si>
    <t>:*b0:na2</t>
  </si>
  <si>
    <t>:*b0:na3</t>
  </si>
  <si>
    <t>:*b0:nb1</t>
  </si>
  <si>
    <t>:*b0:pe1</t>
  </si>
  <si>
    <t>:*b0:pe2</t>
  </si>
  <si>
    <t>:*b0:pe3</t>
  </si>
  <si>
    <t>:*b0:pi1</t>
  </si>
  <si>
    <t>:*b0:pi2</t>
  </si>
  <si>
    <t>:*b0:pi3</t>
  </si>
  <si>
    <t>:*b0:pt1</t>
  </si>
  <si>
    <t>:*b0:pt2</t>
  </si>
  <si>
    <t>:*b0:pt3</t>
  </si>
  <si>
    <t>:*b0:qu1</t>
  </si>
  <si>
    <t>:*b0:qu2</t>
  </si>
  <si>
    <t>:*b0:qu3</t>
  </si>
  <si>
    <t>:*b0:un1</t>
  </si>
  <si>
    <t>:*b0:un2</t>
  </si>
  <si>
    <t>:*b0:un3</t>
  </si>
  <si>
    <t>:*b0:re1</t>
  </si>
  <si>
    <t>:*b0:re2</t>
  </si>
  <si>
    <t>:*b0:re3</t>
  </si>
  <si>
    <t>:*b0:ro1</t>
  </si>
  <si>
    <t>:*b0:ro2</t>
  </si>
  <si>
    <t>:*b0:r21</t>
  </si>
  <si>
    <t>:*b0:r22</t>
  </si>
  <si>
    <t>:*b0:yi1</t>
  </si>
  <si>
    <t>:*b0:yi2</t>
  </si>
  <si>
    <t>:*b0:yi3</t>
  </si>
  <si>
    <t>:*b0:os1</t>
  </si>
  <si>
    <t>:*b0:os3</t>
  </si>
  <si>
    <t>:*b0:om1</t>
  </si>
  <si>
    <t>:*b0:om3</t>
  </si>
  <si>
    <t>:*b0:me52n</t>
  </si>
  <si>
    <t>:*b0:ml81n</t>
  </si>
  <si>
    <t>:*b0:migo</t>
  </si>
  <si>
    <t>:*b0:va01</t>
  </si>
  <si>
    <t>:*b0:idcp</t>
  </si>
  <si>
    <t>:*b0:iw33</t>
  </si>
  <si>
    <t>:*b0:iw51</t>
  </si>
  <si>
    <t>:*b0:iw53</t>
  </si>
  <si>
    <t>:*b0:scc1</t>
  </si>
  <si>
    <t>:*b0:stms</t>
  </si>
  <si>
    <t>:*b0:se18</t>
  </si>
  <si>
    <t>:*b0:sost</t>
  </si>
  <si>
    <t>:*b0:zosfe000</t>
  </si>
  <si>
    <t>:*b0:zosfer01</t>
  </si>
  <si>
    <t>:*b0:zosfer02</t>
  </si>
  <si>
    <t>:*b0:zosfer03</t>
  </si>
  <si>
    <t>:*b0:zosfer04</t>
  </si>
  <si>
    <t xml:space="preserve">:*:qas </t>
  </si>
  <si>
    <t>:*:install</t>
  </si>
  <si>
    <t>::"I</t>
  </si>
  <si>
    <t>::"E</t>
  </si>
  <si>
    <t>::*I</t>
  </si>
  <si>
    <t>::*E</t>
  </si>
  <si>
    <t>:*:nn</t>
  </si>
  <si>
    <t>Send {enter}</t>
  </si>
  <si>
    <t>Send ^+3</t>
  </si>
  <si>
    <t>Send ^{pgup}</t>
  </si>
  <si>
    <t>Send ^{pgdn}</t>
  </si>
  <si>
    <t>Send +{F6}</t>
  </si>
  <si>
    <t>Send +{F7}</t>
  </si>
  <si>
    <t>:*:uninstall</t>
  </si>
  <si>
    <t>;Comentarios</t>
  </si>
  <si>
    <t>:*b0:se93</t>
  </si>
  <si>
    <t>:*b0:se38</t>
  </si>
  <si>
    <t>:*b0:se80</t>
  </si>
  <si>
    <t>;* Created</t>
  </si>
  <si>
    <t>;* Modified</t>
  </si>
  <si>
    <t>10.02.2015 by norman tinco</t>
  </si>
  <si>
    <t>^t</t>
  </si>
  <si>
    <t>Send +{F11}</t>
  </si>
  <si>
    <t>:*:nd</t>
  </si>
  <si>
    <t xml:space="preserve"> +F4</t>
  </si>
  <si>
    <t>;ZOSPELL</t>
  </si>
  <si>
    <t>c</t>
  </si>
  <si>
    <t>gqc dev</t>
  </si>
  <si>
    <t>gqc qas</t>
  </si>
  <si>
    <t>gqc prd</t>
  </si>
  <si>
    <t>:*b0:gq1</t>
  </si>
  <si>
    <t>:*b0:gq2</t>
  </si>
  <si>
    <t>:*b0:gq3</t>
  </si>
  <si>
    <t>:*b0:ymt</t>
  </si>
  <si>
    <t>:*b0:zospell00</t>
  </si>
  <si>
    <t>^3</t>
  </si>
  <si>
    <t>^4</t>
  </si>
  <si>
    <t>^6</t>
  </si>
  <si>
    <t>^7</t>
  </si>
  <si>
    <t>^8</t>
  </si>
  <si>
    <t>^9</t>
  </si>
  <si>
    <t>^0</t>
  </si>
  <si>
    <t>:*:nf</t>
  </si>
  <si>
    <t>:*b0:em1</t>
  </si>
  <si>
    <t>:*b0:em2</t>
  </si>
  <si>
    <t>:*b0:em3</t>
  </si>
  <si>
    <t>emergent dev</t>
  </si>
  <si>
    <t>emergent qas</t>
  </si>
  <si>
    <t>emergent prd</t>
  </si>
  <si>
    <t>^right</t>
  </si>
  <si>
    <t>^+w</t>
  </si>
  <si>
    <t>Send {click 2}</t>
  </si>
  <si>
    <t>lbutton</t>
  </si>
  <si>
    <t>del</t>
  </si>
  <si>
    <t>Send ^w</t>
  </si>
  <si>
    <t>^left</t>
  </si>
  <si>
    <t>!b</t>
  </si>
  <si>
    <t>:*b0:me42</t>
  </si>
  <si>
    <t>:*b0:vf02</t>
  </si>
  <si>
    <t>:*b0:miro</t>
  </si>
  <si>
    <t>:*b0:me22n</t>
  </si>
  <si>
    <t>:*b0:fb02</t>
  </si>
  <si>
    <t>:*b0:mir4</t>
  </si>
  <si>
    <t>:*b0:me23n</t>
  </si>
  <si>
    <t>:*b0:me43</t>
  </si>
  <si>
    <t>:*b0:fb03</t>
  </si>
  <si>
    <t>:*b0:vf03</t>
  </si>
  <si>
    <t>:*b0:se11</t>
  </si>
  <si>
    <t>:*b0:zosdms00</t>
  </si>
  <si>
    <t>:*b0:spro</t>
  </si>
  <si>
    <t>^j</t>
  </si>
  <si>
    <t>HS</t>
  </si>
  <si>
    <t>Numpad0</t>
  </si>
  <si>
    <t>Numpad1</t>
  </si>
  <si>
    <t>Numpad2</t>
  </si>
  <si>
    <t>Numpad3</t>
  </si>
  <si>
    <t>Numpad4</t>
  </si>
  <si>
    <t>Numpad5</t>
  </si>
  <si>
    <t>Numpad6</t>
  </si>
  <si>
    <t>Numpad7</t>
  </si>
  <si>
    <t>Numpad8</t>
  </si>
  <si>
    <t>Numpad9</t>
  </si>
  <si>
    <t>NumpadDot</t>
  </si>
  <si>
    <t>=</t>
  </si>
  <si>
    <t>^tab</t>
  </si>
  <si>
    <t>zym_folder</t>
  </si>
  <si>
    <t>zym_log</t>
  </si>
  <si>
    <t>zym_ymg</t>
  </si>
  <si>
    <t>zym_logon</t>
  </si>
  <si>
    <t>Menu Tray, Icon, shell32.dll, 25</t>
  </si>
  <si>
    <t>;HS</t>
  </si>
  <si>
    <t>inicializa(){</t>
  </si>
  <si>
    <t>}</t>
  </si>
  <si>
    <t>inicializa()</t>
  </si>
  <si>
    <t>:*:q1</t>
  </si>
  <si>
    <t>;Main</t>
  </si>
  <si>
    <t>Send ^{a}^{v}^{s}</t>
  </si>
  <si>
    <t>F2</t>
  </si>
  <si>
    <t>;vs</t>
  </si>
  <si>
    <t>$F2</t>
  </si>
  <si>
    <t>Send {F2}</t>
  </si>
  <si>
    <t>F5</t>
  </si>
  <si>
    <t>Send {F5}</t>
  </si>
  <si>
    <t>$F1</t>
  </si>
  <si>
    <t>Send {F1}</t>
  </si>
  <si>
    <t>;TICKET</t>
  </si>
  <si>
    <t>Send ^{f}{enter}{esc}</t>
  </si>
  <si>
    <t>$^f3</t>
  </si>
  <si>
    <t>!`</t>
  </si>
  <si>
    <t>:*b0:me33k</t>
  </si>
  <si>
    <t xml:space="preserve"> +F</t>
  </si>
  <si>
    <t>ahk_exe hh.exe</t>
  </si>
  <si>
    <t>ahk_exe brave.exe</t>
  </si>
  <si>
    <t>ahk_exe conhost.exe</t>
  </si>
  <si>
    <t>ahk_exe Teams.exe</t>
  </si>
  <si>
    <t>(</t>
  </si>
  <si>
    <t>Send (){left}</t>
  </si>
  <si>
    <t>tab</t>
  </si>
  <si>
    <t>Send ^{tab}</t>
  </si>
  <si>
    <t>F3</t>
  </si>
  <si>
    <t>Automate - Excel</t>
  </si>
  <si>
    <t>OST - Omnia Time - Excel</t>
  </si>
  <si>
    <t>ahk_exe Everything.exe</t>
  </si>
  <si>
    <t>$WheelDown</t>
  </si>
  <si>
    <t>!WheelDown</t>
  </si>
  <si>
    <t>!WheelUp</t>
  </si>
  <si>
    <t>$WheelUp</t>
  </si>
  <si>
    <t>ahk_class CabinetWClass</t>
  </si>
  <si>
    <t>ahk_exe notepad.exe</t>
  </si>
  <si>
    <t>^k</t>
  </si>
  <si>
    <t>Send {f8}</t>
  </si>
  <si>
    <t>return</t>
  </si>
  <si>
    <t>~^s</t>
  </si>
  <si>
    <t>reload</t>
  </si>
  <si>
    <t>GroupAdd gr_sap_launch, ahk_exe Listary.exe</t>
  </si>
  <si>
    <t>GroupAdd gr_sap_launch, ahk_exe everything.exe</t>
  </si>
  <si>
    <t>GroupAdd gr_sap_launch, ahk_exe switcheroo.exe</t>
  </si>
  <si>
    <t>#IfWinActive ahk_group gr_sap_launch</t>
  </si>
  <si>
    <t>GroupAdd gr_sap_debug, debugging</t>
  </si>
  <si>
    <t>GroupAdd gr_sap_debug, debugger</t>
  </si>
  <si>
    <t>$^w</t>
  </si>
  <si>
    <t>$^tab</t>
  </si>
  <si>
    <t>$^+tab</t>
  </si>
  <si>
    <t>WheelLeft</t>
  </si>
  <si>
    <t>WheelRight</t>
  </si>
  <si>
    <t>F1</t>
  </si>
  <si>
    <t>$+F1</t>
  </si>
  <si>
    <t>$+F2</t>
  </si>
  <si>
    <t>go.word_resize("70")</t>
  </si>
  <si>
    <t>go.word_resize("80")</t>
  </si>
  <si>
    <t>go.word_resize("90")</t>
  </si>
  <si>
    <t>go.sap.qasopen_var()</t>
  </si>
  <si>
    <t>go.sap.qasopen_val()</t>
  </si>
  <si>
    <t>go.sap.abap_commentline(A_thislabel,"NTP",znow_ticket)</t>
  </si>
  <si>
    <t>go.sap.abap_commentblock(A_thislabel,"NTP",znow_ticket)</t>
  </si>
  <si>
    <t>go.sap.tcodebar()</t>
  </si>
  <si>
    <t>INCLUDE</t>
  </si>
  <si>
    <t>INICIALIZATION</t>
  </si>
  <si>
    <t>!j</t>
  </si>
  <si>
    <t>!k</t>
  </si>
  <si>
    <t>!f</t>
  </si>
  <si>
    <t>!d</t>
  </si>
  <si>
    <t>!a</t>
  </si>
  <si>
    <t>!s</t>
  </si>
  <si>
    <t>`</t>
  </si>
  <si>
    <t>!w</t>
  </si>
  <si>
    <t>!e</t>
  </si>
  <si>
    <t>A_excel</t>
  </si>
  <si>
    <t>A_saplogon</t>
  </si>
  <si>
    <t>A_winword</t>
  </si>
  <si>
    <t>A_code</t>
  </si>
  <si>
    <t>A_brave</t>
  </si>
  <si>
    <t>A_notepad2</t>
  </si>
  <si>
    <t>A_explorer</t>
  </si>
  <si>
    <t>A_notepad</t>
  </si>
  <si>
    <t>A_outlook</t>
  </si>
  <si>
    <t>GroupAdd gr_sap_launch, ahk_exe tlbHost.exe</t>
  </si>
  <si>
    <t>A_copyq</t>
  </si>
  <si>
    <t>A_snipaste</t>
  </si>
  <si>
    <t>A_listary</t>
  </si>
  <si>
    <t>A_switchero</t>
  </si>
  <si>
    <t>A_everything</t>
  </si>
  <si>
    <t>A_pdfxviewer</t>
  </si>
  <si>
    <t>notepad</t>
  </si>
  <si>
    <t>notepad++</t>
  </si>
  <si>
    <t>winword</t>
  </si>
  <si>
    <t>excel</t>
  </si>
  <si>
    <t>chrome</t>
  </si>
  <si>
    <t>explorer</t>
  </si>
  <si>
    <t>xyplorer</t>
  </si>
  <si>
    <t>code</t>
  </si>
  <si>
    <t>brave</t>
  </si>
  <si>
    <t>saplogon</t>
  </si>
  <si>
    <t>outlook</t>
  </si>
  <si>
    <t>ahk_exe notepad++.exe</t>
  </si>
  <si>
    <t>ahk_exe WINWORD.EXE</t>
  </si>
  <si>
    <t>ahk_exe EXCEL.EXE</t>
  </si>
  <si>
    <t>ahk_exe chrome.exe</t>
  </si>
  <si>
    <t>ahk_exe XYplorer.exe</t>
  </si>
  <si>
    <t>ahk_exe Code.exe</t>
  </si>
  <si>
    <t>ahk_exe PDFXCview.exe</t>
  </si>
  <si>
    <t>ahk_exe outlook.exe</t>
  </si>
  <si>
    <t>;Val1</t>
  </si>
  <si>
    <t>;Val2</t>
  </si>
  <si>
    <t>;Key</t>
  </si>
  <si>
    <t>;Descripcion</t>
  </si>
  <si>
    <t>!{tab}</t>
  </si>
  <si>
    <t>.prog.abap</t>
  </si>
  <si>
    <t>A_sapbox</t>
  </si>
  <si>
    <t>Edit1</t>
  </si>
  <si>
    <t>pdfxview</t>
  </si>
  <si>
    <t>Notepad++</t>
  </si>
  <si>
    <t>Mecanografía</t>
  </si>
  <si>
    <t>Netflix</t>
  </si>
  <si>
    <t>gt_nobasic</t>
  </si>
  <si>
    <t>E_saplogon</t>
  </si>
  <si>
    <t>saplogon.exe</t>
  </si>
  <si>
    <t>ahk_exe SearchUI.exe</t>
  </si>
  <si>
    <t>ahk_exe switcheroo.exe</t>
  </si>
  <si>
    <t>ahk_exe tlbhost.exe</t>
  </si>
  <si>
    <t>ahk_class #32770</t>
  </si>
  <si>
    <t>ahk_class Notepad++</t>
  </si>
  <si>
    <t>ahk_class TViewForm</t>
  </si>
  <si>
    <t>SAP Logon</t>
  </si>
  <si>
    <t>ahk_exe WFICA32.EXE</t>
  </si>
  <si>
    <t>gt1_kill</t>
  </si>
  <si>
    <t>gt2_esc</t>
  </si>
  <si>
    <t>gt3_ctrlw</t>
  </si>
  <si>
    <t>Web</t>
  </si>
  <si>
    <t>Code</t>
  </si>
  <si>
    <t>Explorer</t>
  </si>
  <si>
    <t>Beyond</t>
  </si>
  <si>
    <t>go.app_close()</t>
  </si>
  <si>
    <t>Send ^+{o}</t>
  </si>
  <si>
    <t>!F1</t>
  </si>
  <si>
    <t>!F2</t>
  </si>
  <si>
    <t>A_chrome</t>
  </si>
  <si>
    <t>A_xyplorer</t>
  </si>
  <si>
    <t>A_alttab</t>
  </si>
  <si>
    <t>:*b0:se24</t>
  </si>
  <si>
    <t>ahk</t>
  </si>
  <si>
    <t>file:</t>
  </si>
  <si>
    <t>folder:</t>
  </si>
  <si>
    <t>A_abapext</t>
  </si>
  <si>
    <t xml:space="preserve"> !F</t>
  </si>
  <si>
    <t>go.wheel_alttab()</t>
  </si>
  <si>
    <t>#w</t>
  </si>
  <si>
    <t>go.wheel_ctrltab()</t>
  </si>
  <si>
    <t>go.wheel_click()</t>
  </si>
  <si>
    <t>go.app_closeprocess()</t>
  </si>
  <si>
    <t>go.winsel()</t>
  </si>
  <si>
    <t>Xchange</t>
  </si>
  <si>
    <t>gtc1_scroll</t>
  </si>
  <si>
    <t>go.app_esc()</t>
  </si>
  <si>
    <t>ahk_class DSUI:PDFXCViewer</t>
  </si>
  <si>
    <t>ym.txt</t>
  </si>
  <si>
    <t>ym_g.txt</t>
  </si>
  <si>
    <t>zym_abap</t>
  </si>
  <si>
    <t>src\</t>
  </si>
  <si>
    <t>files\automate.ini</t>
  </si>
  <si>
    <t>A_wox</t>
  </si>
  <si>
    <t>Automate_prd.ahk</t>
  </si>
  <si>
    <t>Automate_qas.ahk</t>
  </si>
  <si>
    <t>Send ^{a}^{c}</t>
  </si>
  <si>
    <t>F4</t>
  </si>
  <si>
    <t>[A_omnia]</t>
  </si>
  <si>
    <t>[A_basic]</t>
  </si>
  <si>
    <t>Omnia web usuarios</t>
  </si>
  <si>
    <t>d</t>
  </si>
  <si>
    <t>https://omniasolution.sharepoint.com/:x:/r/sites/Bienvenido/Areas/AAC/_layouts/15/Doc.aspx?sourcedoc=%7B774415D9-07B3-42AF-8DFB-7AE8BE016711%7D&amp;file=CONTRASEÑAS_CLIENTES.xlsx&amp;action=default&amp;mobileredirect=true</t>
  </si>
  <si>
    <t>NumLock</t>
  </si>
  <si>
    <t>go := {base: new zclbase(),sap: new zclsap(),job: new zcljob(), qas: new zclqas()}</t>
  </si>
  <si>
    <t>$F11</t>
  </si>
  <si>
    <t>$F12</t>
  </si>
  <si>
    <t>$+F11</t>
  </si>
  <si>
    <t>$+F12</t>
  </si>
  <si>
    <t>Send {F11}</t>
  </si>
  <si>
    <t>Send {F12}</t>
  </si>
  <si>
    <t>Omnia web time</t>
  </si>
  <si>
    <t>Norman Excel Automate</t>
  </si>
  <si>
    <t>[A_norman]</t>
  </si>
  <si>
    <t>go.sap.abap_activate()</t>
  </si>
  <si>
    <t>go.sap.qasopen(salir)</t>
  </si>
  <si>
    <t>go.sap.abap_activate(all)</t>
  </si>
  <si>
    <t>Send %A_switchero%</t>
  </si>
  <si>
    <t>Send %A_listary%</t>
  </si>
  <si>
    <t>go.run("A_outlook")</t>
  </si>
  <si>
    <t>go.run("A_notepad2")</t>
  </si>
  <si>
    <t>go.run("A_code")</t>
  </si>
  <si>
    <t>go.run("A_excel")</t>
  </si>
  <si>
    <t>go.run("A_saplogon")</t>
  </si>
  <si>
    <t>go.run("A_winword")</t>
  </si>
  <si>
    <t>go.run("A_copyq")</t>
  </si>
  <si>
    <t>go.run("A_snipaste")</t>
  </si>
  <si>
    <t>go.run("A_brave")</t>
  </si>
  <si>
    <t>go.sap.logon("znow_logon1")</t>
  </si>
  <si>
    <t>go.sap.logon("znow_logon2")</t>
  </si>
  <si>
    <t>[A_sap]</t>
  </si>
  <si>
    <t>GROUP</t>
  </si>
  <si>
    <t>05.05.2020 - 601</t>
  </si>
  <si>
    <t>[app_close]</t>
  </si>
  <si>
    <t>[app_close_nobasic]</t>
  </si>
  <si>
    <t>[zym]</t>
  </si>
  <si>
    <t>[A_key]</t>
  </si>
  <si>
    <t>t</t>
  </si>
  <si>
    <t>$enter</t>
  </si>
  <si>
    <t>ahk_class SAP_FRONTEND_SESSION</t>
  </si>
  <si>
    <t>go.sap.tcode("enter")</t>
  </si>
  <si>
    <t>go.sap.tcode("/nex")</t>
  </si>
  <si>
    <t>go.sap.tcode("/h")</t>
  </si>
  <si>
    <t>go.sap.tcode("se11")</t>
  </si>
  <si>
    <t>go.sap.tcode("se93")</t>
  </si>
  <si>
    <t>go.sap.tcode("se24")</t>
  </si>
  <si>
    <t>go.sap.tcode("se16n")</t>
  </si>
  <si>
    <t>go.sap.tcode("se37")</t>
  </si>
  <si>
    <t>go.sap.tcode("se38")</t>
  </si>
  <si>
    <t>go.sap.tcode("se09")</t>
  </si>
  <si>
    <t>go.sap.tcode("se80")</t>
  </si>
  <si>
    <t>go.sap.tcode("/ose93")</t>
  </si>
  <si>
    <t>go.sap.tcode("/ose24")</t>
  </si>
  <si>
    <t>go.sap.tcode("/ose16n")</t>
  </si>
  <si>
    <t>go.sap.tcode("/ose37")</t>
  </si>
  <si>
    <t>go.sap.tcode("/ose38")</t>
  </si>
  <si>
    <t>go.sap.tcode("/ose09")</t>
  </si>
  <si>
    <t>go.sap.tcode("/ose80")</t>
  </si>
  <si>
    <t>go.sendk("excel")</t>
  </si>
  <si>
    <t>go.sendk("saplogon")</t>
  </si>
  <si>
    <t>go.sendk("winword")</t>
  </si>
  <si>
    <t>go.sendk("code")</t>
  </si>
  <si>
    <t>go.sendk("brave")</t>
  </si>
  <si>
    <t>go.sendk("file:")</t>
  </si>
  <si>
    <t>go.sendk("folder:")</t>
  </si>
  <si>
    <t>go.sendk("ahk")</t>
  </si>
  <si>
    <t>spro</t>
  </si>
  <si>
    <t>ymt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</si>
  <si>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</si>
  <si>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</si>
  <si>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</si>
  <si>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</si>
  <si>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</si>
  <si>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</si>
  <si>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</si>
  <si>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</si>
  <si>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</si>
  <si>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fb02</t>
  </si>
  <si>
    <t>fb03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</si>
  <si>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</si>
  <si>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</si>
  <si>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</si>
  <si>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</si>
  <si>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</si>
  <si>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</si>
  <si>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</si>
  <si>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</si>
  <si>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</si>
  <si>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</si>
  <si>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</si>
  <si>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</si>
  <si>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</si>
  <si>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</si>
  <si>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</si>
  <si>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</si>
  <si>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</si>
  <si>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</si>
  <si>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</si>
  <si>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</si>
  <si>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</si>
  <si>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</si>
  <si>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</si>
  <si>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zosdms00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</si>
  <si>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</si>
  <si>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</si>
  <si>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</si>
  <si>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</si>
  <si>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</si>
  <si>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</si>
  <si>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</si>
  <si>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</si>
  <si>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</si>
  <si>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</si>
  <si>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</si>
  <si>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</si>
  <si>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</si>
  <si>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</si>
  <si>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</si>
  <si>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</si>
  <si>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</si>
  <si>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</si>
  <si>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</si>
  <si>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</si>
  <si>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</si>
  <si>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</si>
  <si>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</si>
  <si>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</si>
  <si>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</si>
  <si>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</si>
  <si>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</si>
  <si>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</si>
  <si>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</si>
  <si>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</si>
  <si>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</si>
  <si>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</si>
  <si>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in1</t>
  </si>
  <si>
    <t>in2</t>
  </si>
  <si>
    <t>in3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</si>
  <si>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</si>
  <si>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</si>
  <si>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</si>
  <si>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</si>
  <si>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</si>
  <si>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</si>
  <si>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</si>
  <si>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</si>
  <si>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</si>
  <si>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</si>
  <si>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</si>
  <si>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</si>
  <si>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</si>
  <si>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</si>
  <si>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</si>
  <si>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</si>
  <si>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</si>
  <si>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</si>
  <si>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</si>
  <si>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</si>
  <si>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</si>
  <si>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</si>
  <si>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</si>
  <si>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</si>
  <si>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</si>
  <si>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</si>
  <si>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</si>
  <si>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</si>
  <si>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</si>
  <si>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</si>
  <si>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</si>
  <si>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</si>
  <si>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</si>
  <si>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</si>
  <si>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</si>
  <si>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</si>
  <si>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</si>
  <si>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</si>
  <si>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</si>
  <si>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</si>
  <si>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</si>
  <si>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</si>
  <si>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</si>
  <si>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</si>
  <si>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</si>
  <si>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</si>
  <si>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</si>
  <si>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</si>
  <si>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</si>
  <si>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</si>
  <si>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</si>
  <si>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</si>
  <si>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</si>
  <si>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</si>
  <si>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</si>
  <si>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</si>
  <si>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</si>
  <si>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nn</t>
  </si>
  <si>
    <t>nd</t>
  </si>
  <si>
    <t>nf</t>
  </si>
  <si>
    <t>"I</t>
  </si>
  <si>
    <t>"E</t>
  </si>
  <si>
    <t>*I</t>
  </si>
  <si>
    <t>*E</t>
  </si>
  <si>
    <t>qas</t>
  </si>
  <si>
    <t>Fx</t>
  </si>
  <si>
    <t>Listary.exe</t>
  </si>
  <si>
    <t>Switchero.exe</t>
  </si>
  <si>
    <t>Outlook.exe</t>
  </si>
  <si>
    <t>Excel.exe</t>
  </si>
  <si>
    <t>Winword.exe</t>
  </si>
  <si>
    <t>SAP_FRONTEND_SESSION</t>
  </si>
  <si>
    <t>Windows General.</t>
  </si>
  <si>
    <t>Mouse.</t>
  </si>
  <si>
    <t>Gr_sap_debug</t>
  </si>
  <si>
    <t>Copyq.exe</t>
  </si>
  <si>
    <t>Bcompare.exe</t>
  </si>
  <si>
    <t>Snipaste.exe</t>
  </si>
  <si>
    <t>Code.exe</t>
  </si>
  <si>
    <t>Notepad++.exe</t>
  </si>
  <si>
    <t>Automate_</t>
  </si>
  <si>
    <t>go.run_cmd("D:\OneDrive\Au\Scripts Py\crop.py")</t>
  </si>
  <si>
    <t>!3</t>
  </si>
  <si>
    <t>!4</t>
  </si>
  <si>
    <t>!6</t>
  </si>
  <si>
    <t>!0</t>
  </si>
  <si>
    <t>rbutton</t>
  </si>
  <si>
    <t>Send {click}^{w}</t>
  </si>
  <si>
    <t>go.sap.se38pool(zym_folder,A_thislabel)</t>
  </si>
  <si>
    <t>go.sap.tcode("complete")</t>
  </si>
  <si>
    <t>go.sap.logon(A_ThisLabel)</t>
  </si>
  <si>
    <t>Visual Basic for Applications</t>
  </si>
  <si>
    <t>Send +{F2}</t>
  </si>
  <si>
    <t xml:space="preserve"> +F2</t>
  </si>
  <si>
    <t>Send ^+{F2}</t>
  </si>
  <si>
    <t>^NumLock</t>
  </si>
  <si>
    <t>go.sendcopy("znow_ticket")</t>
  </si>
  <si>
    <t>go.sendcopy("znow_desc")</t>
  </si>
  <si>
    <t>go.sendcopy("znow_title")</t>
  </si>
  <si>
    <t>go.excel_keyr("znow_excel")</t>
  </si>
  <si>
    <t>go.excel_keyr("N_nea")</t>
  </si>
  <si>
    <t>go.run("A_switchero")</t>
  </si>
  <si>
    <t>go.run("A_listary")</t>
  </si>
  <si>
    <t>+F2</t>
  </si>
  <si>
    <t>Visual Basic for Applications -</t>
  </si>
  <si>
    <t>http://osss.omniasolution.com:8093/</t>
  </si>
  <si>
    <t>https://osss.omniasolution.com/(S(n41crbip1mp21v5503vfof45))/login.aspx</t>
  </si>
  <si>
    <t>Omnia web old</t>
  </si>
  <si>
    <t>https://omniasolution.sharepoint.com/:x:/r/sites/Bienvenido/Areas/AAC/_layouts/15/WopiFrame.aspx?sourcedoc=%7BFE18E5FB-F5F6-400C-8C5F-765AAB530A4F%7D&amp;file=Conexiones_SAP.xlsx&amp;action=default</t>
  </si>
  <si>
    <t>Omnia web conexion</t>
  </si>
  <si>
    <t>owu</t>
  </si>
  <si>
    <t>owc</t>
  </si>
  <si>
    <t>owt</t>
  </si>
  <si>
    <t>owo</t>
  </si>
  <si>
    <t>neauto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</si>
  <si>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</si>
  <si>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</si>
  <si>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</si>
  <si>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</si>
  <si>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</si>
  <si>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</si>
  <si>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</si>
  <si>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</si>
  <si>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</si>
  <si>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</si>
  <si>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go.sap.abap_activate("all")</t>
  </si>
  <si>
    <t>ahk_exe wps.exe</t>
  </si>
  <si>
    <t>wps</t>
  </si>
  <si>
    <t>á</t>
  </si>
  <si>
    <t>:*:a[</t>
  </si>
  <si>
    <t>:*:e[</t>
  </si>
  <si>
    <t>:*:i[</t>
  </si>
  <si>
    <t>:*:o[</t>
  </si>
  <si>
    <t>:*:u[</t>
  </si>
  <si>
    <t>ó</t>
  </si>
  <si>
    <t>ú</t>
  </si>
  <si>
    <t>í</t>
  </si>
  <si>
    <t>é</t>
  </si>
  <si>
    <t>A_wps</t>
  </si>
  <si>
    <t>!h</t>
  </si>
  <si>
    <t>!f8</t>
  </si>
  <si>
    <t>:*b0:11</t>
  </si>
  <si>
    <t>:*b0:33</t>
  </si>
  <si>
    <t>:*b0:44</t>
  </si>
  <si>
    <t>:*b0:66</t>
  </si>
  <si>
    <t>:*b0:77</t>
  </si>
  <si>
    <t>:*b0:88</t>
  </si>
  <si>
    <t>:*b0:99</t>
  </si>
  <si>
    <t>:*b0:00</t>
  </si>
  <si>
    <t>!1</t>
  </si>
  <si>
    <t>Numpad.</t>
  </si>
  <si>
    <t>Hs.</t>
  </si>
  <si>
    <t>Key Left EN.</t>
  </si>
  <si>
    <t>Key Right EN.</t>
  </si>
  <si>
    <t>zomt_logon1</t>
  </si>
  <si>
    <t>zomt_logon2</t>
  </si>
  <si>
    <t>zomt_excel</t>
  </si>
  <si>
    <t>zomt_desc</t>
  </si>
  <si>
    <t>zomt_ticket</t>
  </si>
  <si>
    <t>zomt_title</t>
  </si>
  <si>
    <t>D:\OneDrive\Au\Apps\Ahk\App_om\omt.ini</t>
  </si>
  <si>
    <t>D:\OneDrive\Au\Apps\Abap\</t>
  </si>
  <si>
    <t>go.qas.se80()</t>
  </si>
  <si>
    <t>^NumpadDot</t>
  </si>
  <si>
    <t>zomt_logon3</t>
  </si>
  <si>
    <t>go.sap.abap_commentline(A_thislabel,"NTP",zomt_ticket)</t>
  </si>
  <si>
    <t>go.sap.abap_commentblock(A_thislabel,"NTP",zomt_ticket)</t>
  </si>
  <si>
    <t>D:\OneDrive\Au\Apps\Python\crop.py</t>
  </si>
  <si>
    <t>Send ^p</t>
  </si>
  <si>
    <t>Send ^{c}!{tab}^{v}</t>
  </si>
  <si>
    <t>wps.exe</t>
  </si>
  <si>
    <t>Send ^n</t>
  </si>
  <si>
    <t>^Enter</t>
  </si>
  <si>
    <t>go.sap.qasopen()</t>
  </si>
  <si>
    <t>^!{e}</t>
  </si>
  <si>
    <t>^!{l}</t>
  </si>
  <si>
    <t>^!{t}</t>
  </si>
  <si>
    <t>^!{s}</t>
  </si>
  <si>
    <t>^!{c}</t>
  </si>
  <si>
    <t>^!{w}</t>
  </si>
  <si>
    <t>TrueLaunchBarWindow1</t>
  </si>
  <si>
    <t>TrueLaunchBar</t>
  </si>
  <si>
    <t>[wheel_control_click]</t>
  </si>
  <si>
    <t>[wheel_control_click2]</t>
  </si>
  <si>
    <t>Sap Abap</t>
  </si>
  <si>
    <t>SAPTreeList,Button</t>
  </si>
  <si>
    <t>Switcheroo.exe</t>
  </si>
  <si>
    <t>Send ^+{p}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</si>
</sst>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0" fontId="23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7" borderId="0" xfId="0" applyFont="1" applyFill="1"/>
    <xf numFmtId="0" fontId="20" fillId="0" borderId="0" xfId="0" applyFont="1" applyFill="1" applyBorder="1" applyAlignment="1">
      <alignment horizontal="left"/>
    </xf>
    <xf numFmtId="0" fontId="20" fillId="0" borderId="0" xfId="0" applyFont="1" applyFill="1" applyBorder="1"/>
    <xf numFmtId="0" fontId="20" fillId="0" borderId="0" xfId="0" applyFont="1" applyBorder="1"/>
    <xf numFmtId="0" fontId="20" fillId="39" borderId="0" xfId="0" applyFont="1" applyFill="1"/>
    <xf numFmtId="0" fontId="20" fillId="0" borderId="0" xfId="0" applyFont="1" applyFill="1" applyAlignment="1">
      <alignment horizontal="left"/>
    </xf>
    <xf numFmtId="49" fontId="20" fillId="0" borderId="0" xfId="0" applyNumberFormat="1" applyFont="1"/>
    <xf numFmtId="0" fontId="20" fillId="0" borderId="0" xfId="0" quotePrefix="1" applyFont="1"/>
    <xf numFmtId="0" fontId="20" fillId="0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5" fillId="0" borderId="0" xfId="0" applyFont="1"/>
    <xf numFmtId="0" fontId="3" fillId="0" borderId="0" xfId="45"/>
    <xf numFmtId="0" fontId="20" fillId="37" borderId="0" xfId="0" applyFont="1" applyFill="1" applyAlignment="1">
      <alignment horizontal="left" indent="1"/>
    </xf>
    <xf numFmtId="0" fontId="26" fillId="0" borderId="0" xfId="0" applyFont="1" applyFill="1"/>
    <xf numFmtId="0" fontId="20" fillId="41" borderId="0" xfId="0" applyFont="1" applyFill="1"/>
    <xf numFmtId="0" fontId="20" fillId="45" borderId="0" xfId="0" applyFont="1" applyFill="1"/>
    <xf numFmtId="0" fontId="21" fillId="38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  <xf numFmtId="0" fontId="21" fillId="40" borderId="0" xfId="0" applyFont="1" applyFill="1" applyAlignment="1">
      <alignment horizontal="left"/>
    </xf>
    <xf numFmtId="0" fontId="21" fillId="44" borderId="0" xfId="0" applyFont="1" applyFill="1" applyAlignment="1">
      <alignment horizontal="left"/>
    </xf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41" borderId="0" xfId="0" applyFont="1" applyFill="1" applyAlignment="1">
      <alignment horizontal="center"/>
    </xf>
    <xf numFmtId="0" fontId="20" fillId="42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6" borderId="0" xfId="0" applyFont="1" applyFill="1" applyAlignment="1">
      <alignment horizontal="left"/>
    </xf>
    <xf numFmtId="0" fontId="23" fillId="44" borderId="0" xfId="0" applyFont="1" applyFill="1" applyAlignment="1">
      <alignment horizontal="left"/>
    </xf>
    <xf numFmtId="0" fontId="23" fillId="35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6"/>
      <tableStyleElement type="headerRow" dxfId="15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1F11DC-1A08-4209-AFF5-1C8CFDBF0BF4}" name="Table2" displayName="Table2" ref="A1:B1048575" headerRowCount="0" totalsRowShown="0" headerRowDxfId="11" dataDxfId="10">
  <tableColumns count="2">
    <tableColumn id="1" xr3:uid="{4FF3F16F-AD38-44A9-9EF9-D1B0E635440D}" name="Column1" headerRowDxfId="9" dataDxfId="8"/>
    <tableColumn id="2" xr3:uid="{D7E3D29C-1236-487B-9EBE-EB8E28E6A8DC}" name="Column2" headerRowDxfId="7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D6EBE0-9F47-4CD5-B2CD-E6AA33C734B3}" name="Table3" displayName="Table3" ref="A1:B1048575" headerRowCount="0" totalsRowShown="0" headerRowDxfId="5" dataDxfId="4">
  <tableColumns count="2">
    <tableColumn id="1" xr3:uid="{F80EDDA1-E5EF-4B78-866D-3E2943CD5A05}" name=":*:nn" headerRowDxfId="3" dataDxfId="2"/>
    <tableColumn id="2" xr3:uid="{FEDEDC12-B816-49A4-B584-C2E7B6F736A6}" name="go.sendcopy(&quot;znow_ticket&quot;,salir)" headerRowDxfId="1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osss.omniasolution.com/(S(n41crbip1mp21v5503vfof45))/login.aspx" TargetMode="External"/><Relationship Id="rId2" Type="http://schemas.openxmlformats.org/officeDocument/2006/relationships/hyperlink" Target="http://osss.omniasolution.com:8093/" TargetMode="External"/><Relationship Id="rId1" Type="http://schemas.openxmlformats.org/officeDocument/2006/relationships/hyperlink" Target="https://omniasolution.sharepoint.com/:x:/r/sites/Bienvenido/Areas/AAC/_layouts/15/Doc.aspx?sourcedoc=%7B774415D9-07B3-42AF-8DFB-7AE8BE016711%7D&amp;file=CONTRASE&#209;AS_CLIENTES.xlsx&amp;action=default&amp;mobileredirect=true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omniasolution.sharepoint.com/:x:/r/sites/Bienvenido/Areas/AAC/_layouts/15/WopiFrame.aspx?sourcedoc=%7BFE18E5FB-F5F6-400C-8C5F-765AAB530A4F%7D&amp;file=Conexiones_SAP.xlsx&amp;action=defaul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4FE10-81DD-4070-9331-B075E77572D4}">
  <sheetPr codeName="Hoja14">
    <tabColor theme="9"/>
  </sheetPr>
  <dimension ref="A1:E3"/>
  <sheetViews>
    <sheetView zoomScale="90" zoomScaleNormal="90" workbookViewId="0">
      <selection activeCell="D3" sqref="D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2" spans="1:5" x14ac:dyDescent="0.3">
      <c r="A2" s="3"/>
      <c r="B2" s="26" t="s">
        <v>291</v>
      </c>
      <c r="C2" s="26"/>
      <c r="D2" s="26"/>
    </row>
    <row r="3" spans="1:5" x14ac:dyDescent="0.3">
      <c r="B3" s="1" t="s">
        <v>314</v>
      </c>
      <c r="C3" s="1" t="s">
        <v>109</v>
      </c>
      <c r="D3" s="10" t="str">
        <f>CONCATENATE("go.sendcopy(",quote,E3,quote,",on)")</f>
        <v>go.sendcopy("",on)</v>
      </c>
    </row>
  </sheetData>
  <dataConsolidate/>
  <mergeCells count="1">
    <mergeCell ref="B2:D2"/>
  </mergeCells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5D9D7-146E-468A-AEEA-527A3D378511}">
  <sheetPr codeName="Hoja15">
    <tabColor theme="9"/>
  </sheetPr>
  <dimension ref="A1:E1"/>
  <sheetViews>
    <sheetView zoomScale="90" zoomScaleNormal="90" workbookViewId="0">
      <selection activeCell="B2" sqref="B2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0</v>
      </c>
      <c r="B1" s="2" t="s">
        <v>100</v>
      </c>
      <c r="C1" s="2"/>
      <c r="D1" s="2" t="s">
        <v>99</v>
      </c>
      <c r="E1" s="2" t="s">
        <v>234</v>
      </c>
    </row>
  </sheetData>
  <dataConsolidate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2DABC-3A82-49BD-B295-54334BBD6A08}">
  <sheetPr codeName="Sheet3">
    <tabColor theme="7" tint="-0.499984740745262"/>
  </sheetPr>
  <dimension ref="A1:E36"/>
  <sheetViews>
    <sheetView zoomScale="90" zoomScaleNormal="90" workbookViewId="0">
      <pane ySplit="1" topLeftCell="A2" activePane="bottomLeft" state="frozen"/>
      <selection pane="bottomLeft" activeCell="C37" sqref="C37"/>
    </sheetView>
  </sheetViews>
  <sheetFormatPr defaultColWidth="8.77734375" defaultRowHeight="14.4" x14ac:dyDescent="0.3"/>
  <cols>
    <col min="1" max="1" width="14.33203125" style="1" bestFit="1" customWidth="1"/>
    <col min="2" max="2" width="3.33203125" style="1" bestFit="1" customWidth="1"/>
    <col min="3" max="3" width="29.109375" style="1" bestFit="1" customWidth="1"/>
    <col min="4" max="4" width="26.77734375" style="1" bestFit="1" customWidth="1"/>
    <col min="5" max="5" width="21.109375" style="1" bestFit="1" customWidth="1"/>
    <col min="6" max="16384" width="8.77734375" style="1"/>
  </cols>
  <sheetData>
    <row r="1" spans="1:5" x14ac:dyDescent="0.3">
      <c r="A1" s="2" t="s">
        <v>424</v>
      </c>
      <c r="B1" s="2"/>
      <c r="C1" s="2" t="s">
        <v>422</v>
      </c>
      <c r="D1" s="2" t="s">
        <v>423</v>
      </c>
      <c r="E1" s="2" t="s">
        <v>425</v>
      </c>
    </row>
    <row r="2" spans="1:5" x14ac:dyDescent="0.3">
      <c r="A2" s="27" t="s">
        <v>485</v>
      </c>
      <c r="B2" s="27"/>
      <c r="C2" s="27"/>
      <c r="D2" s="27"/>
      <c r="E2" s="27"/>
    </row>
    <row r="3" spans="1:5" x14ac:dyDescent="0.3">
      <c r="A3" s="1" t="s">
        <v>735</v>
      </c>
      <c r="B3" s="1" t="s">
        <v>303</v>
      </c>
      <c r="C3" s="21" t="s">
        <v>489</v>
      </c>
      <c r="E3" s="1" t="s">
        <v>487</v>
      </c>
    </row>
    <row r="4" spans="1:5" x14ac:dyDescent="0.3">
      <c r="A4" s="1" t="s">
        <v>736</v>
      </c>
      <c r="B4" s="1" t="s">
        <v>303</v>
      </c>
      <c r="C4" s="21" t="s">
        <v>733</v>
      </c>
      <c r="E4" s="1" t="s">
        <v>734</v>
      </c>
    </row>
    <row r="5" spans="1:5" x14ac:dyDescent="0.3">
      <c r="A5" s="1" t="s">
        <v>737</v>
      </c>
      <c r="B5" s="1" t="s">
        <v>303</v>
      </c>
      <c r="C5" s="21" t="s">
        <v>730</v>
      </c>
      <c r="E5" s="1" t="s">
        <v>498</v>
      </c>
    </row>
    <row r="6" spans="1:5" x14ac:dyDescent="0.3">
      <c r="A6" s="1" t="s">
        <v>738</v>
      </c>
      <c r="B6" s="1" t="s">
        <v>303</v>
      </c>
      <c r="C6" s="21" t="s">
        <v>731</v>
      </c>
      <c r="E6" s="1" t="s">
        <v>732</v>
      </c>
    </row>
    <row r="8" spans="1:5" x14ac:dyDescent="0.3">
      <c r="A8" s="27" t="s">
        <v>500</v>
      </c>
      <c r="B8" s="27"/>
      <c r="C8" s="27"/>
      <c r="D8" s="27"/>
      <c r="E8" s="27"/>
    </row>
    <row r="9" spans="1:5" x14ac:dyDescent="0.3">
      <c r="A9" s="1" t="s">
        <v>739</v>
      </c>
      <c r="B9" s="1" t="s">
        <v>303</v>
      </c>
      <c r="C9" s="1" t="str" cm="1">
        <f t="array" aca="1" ref="C9" ca="1">filename</f>
        <v>D:\OneDrive\Au\Apps\Ahk\App_auto\Automate.xlsm</v>
      </c>
      <c r="E9" s="1" t="s">
        <v>499</v>
      </c>
    </row>
    <row r="11" spans="1:5" x14ac:dyDescent="0.3">
      <c r="A11" s="1" t="s">
        <v>740</v>
      </c>
      <c r="B11" s="1" t="s">
        <v>303</v>
      </c>
    </row>
    <row r="12" spans="1:5" x14ac:dyDescent="0.3">
      <c r="A12" s="1" t="s">
        <v>741</v>
      </c>
      <c r="B12" s="1" t="s">
        <v>303</v>
      </c>
    </row>
    <row r="13" spans="1:5" x14ac:dyDescent="0.3">
      <c r="A13" s="1" t="s">
        <v>742</v>
      </c>
      <c r="B13" s="1" t="s">
        <v>303</v>
      </c>
    </row>
    <row r="14" spans="1:5" x14ac:dyDescent="0.3">
      <c r="A14" s="1" t="s">
        <v>743</v>
      </c>
      <c r="B14" s="1" t="s">
        <v>303</v>
      </c>
    </row>
    <row r="15" spans="1:5" x14ac:dyDescent="0.3">
      <c r="A15" s="1" t="s">
        <v>744</v>
      </c>
      <c r="B15" s="1" t="s">
        <v>303</v>
      </c>
    </row>
    <row r="16" spans="1:5" x14ac:dyDescent="0.3">
      <c r="A16" s="1" t="s">
        <v>745</v>
      </c>
      <c r="B16" s="1" t="s">
        <v>303</v>
      </c>
    </row>
    <row r="17" spans="1:5" x14ac:dyDescent="0.3">
      <c r="A17" s="1" t="s">
        <v>746</v>
      </c>
      <c r="B17" s="1" t="s">
        <v>303</v>
      </c>
    </row>
    <row r="18" spans="1:5" x14ac:dyDescent="0.3">
      <c r="A18" s="1" t="s">
        <v>747</v>
      </c>
      <c r="B18" s="1" t="s">
        <v>303</v>
      </c>
    </row>
    <row r="19" spans="1:5" x14ac:dyDescent="0.3">
      <c r="A19" s="1" t="s">
        <v>748</v>
      </c>
      <c r="B19" s="1" t="s">
        <v>303</v>
      </c>
    </row>
    <row r="20" spans="1:5" x14ac:dyDescent="0.3">
      <c r="A20" s="1" t="s">
        <v>749</v>
      </c>
      <c r="B20" s="1" t="s">
        <v>303</v>
      </c>
    </row>
    <row r="22" spans="1:5" x14ac:dyDescent="0.3">
      <c r="A22" s="27" t="s">
        <v>522</v>
      </c>
      <c r="B22" s="27"/>
      <c r="C22" s="27"/>
      <c r="D22" s="27"/>
      <c r="E22" s="27"/>
    </row>
    <row r="23" spans="1:5" x14ac:dyDescent="0.3">
      <c r="A23" s="1" t="s">
        <v>477</v>
      </c>
      <c r="B23" s="1" t="s">
        <v>303</v>
      </c>
      <c r="C23" s="10" t="str">
        <f>E23</f>
        <v>D:\OneDrive\Au\Apps\Abap\</v>
      </c>
      <c r="D23" s="10"/>
      <c r="E23" s="1" t="s">
        <v>786</v>
      </c>
    </row>
    <row r="24" spans="1:5" x14ac:dyDescent="0.3">
      <c r="A24" s="1" t="s">
        <v>308</v>
      </c>
      <c r="B24" s="1" t="s">
        <v>303</v>
      </c>
      <c r="C24" s="10" t="str">
        <f>$C$23&amp;E24</f>
        <v>D:\OneDrive\Au\Apps\Abap\ym.txt</v>
      </c>
      <c r="D24" s="10"/>
      <c r="E24" s="1" t="s">
        <v>475</v>
      </c>
    </row>
    <row r="25" spans="1:5" x14ac:dyDescent="0.3">
      <c r="A25" s="1" t="s">
        <v>305</v>
      </c>
      <c r="B25" s="1" t="s">
        <v>303</v>
      </c>
      <c r="C25" s="10" t="str">
        <f>$C$23&amp;E25</f>
        <v>D:\OneDrive\Au\Apps\Abap\src\</v>
      </c>
      <c r="D25" s="10"/>
      <c r="E25" s="1" t="s">
        <v>478</v>
      </c>
    </row>
    <row r="26" spans="1:5" x14ac:dyDescent="0.3">
      <c r="A26" s="1" t="s">
        <v>306</v>
      </c>
      <c r="B26" s="1" t="s">
        <v>303</v>
      </c>
      <c r="C26" s="10" t="str">
        <f>$C$23&amp;E26</f>
        <v>D:\OneDrive\Au\Apps\Abap\ym.txt</v>
      </c>
      <c r="D26" s="10"/>
      <c r="E26" s="1" t="s">
        <v>475</v>
      </c>
    </row>
    <row r="27" spans="1:5" x14ac:dyDescent="0.3">
      <c r="A27" s="1" t="s">
        <v>307</v>
      </c>
      <c r="B27" s="1" t="s">
        <v>303</v>
      </c>
      <c r="C27" s="10" t="str">
        <f>$C$23&amp;E27</f>
        <v>D:\OneDrive\Au\Apps\Abap\ym_g.txt</v>
      </c>
      <c r="D27" s="10"/>
      <c r="E27" s="1" t="s">
        <v>476</v>
      </c>
    </row>
    <row r="29" spans="1:5" x14ac:dyDescent="0.3">
      <c r="A29" s="27" t="s">
        <v>523</v>
      </c>
      <c r="B29" s="27"/>
      <c r="C29" s="27"/>
      <c r="D29" s="27"/>
      <c r="E29" s="27"/>
    </row>
    <row r="30" spans="1:5" x14ac:dyDescent="0.3">
      <c r="A30" s="1" t="s">
        <v>401</v>
      </c>
      <c r="B30" s="1" t="s">
        <v>303</v>
      </c>
      <c r="C30" s="1" t="s">
        <v>799</v>
      </c>
    </row>
    <row r="31" spans="1:5" x14ac:dyDescent="0.3">
      <c r="A31" s="1" t="s">
        <v>458</v>
      </c>
      <c r="B31" s="1" t="s">
        <v>303</v>
      </c>
      <c r="C31" s="1" t="s">
        <v>426</v>
      </c>
    </row>
    <row r="32" spans="1:5" x14ac:dyDescent="0.3">
      <c r="A32" s="1" t="s">
        <v>399</v>
      </c>
      <c r="B32" s="1" t="s">
        <v>303</v>
      </c>
      <c r="C32" s="1" t="s">
        <v>800</v>
      </c>
    </row>
    <row r="33" spans="1:3" x14ac:dyDescent="0.3">
      <c r="A33" s="1" t="s">
        <v>400</v>
      </c>
      <c r="B33" s="1" t="s">
        <v>303</v>
      </c>
      <c r="C33" s="1" t="s">
        <v>801</v>
      </c>
    </row>
    <row r="34" spans="1:3" x14ac:dyDescent="0.3">
      <c r="A34" s="1" t="s">
        <v>398</v>
      </c>
      <c r="B34" s="1" t="s">
        <v>303</v>
      </c>
      <c r="C34" s="1" t="s">
        <v>802</v>
      </c>
    </row>
    <row r="35" spans="1:3" x14ac:dyDescent="0.3">
      <c r="A35" s="1" t="s">
        <v>397</v>
      </c>
      <c r="B35" s="1" t="s">
        <v>303</v>
      </c>
      <c r="C35" s="1" t="s">
        <v>803</v>
      </c>
    </row>
    <row r="36" spans="1:3" x14ac:dyDescent="0.3">
      <c r="A36" s="1" t="s">
        <v>480</v>
      </c>
      <c r="B36" s="1" t="s">
        <v>303</v>
      </c>
      <c r="C36" s="1" t="s">
        <v>804</v>
      </c>
    </row>
  </sheetData>
  <mergeCells count="4">
    <mergeCell ref="A2:E2"/>
    <mergeCell ref="A8:E8"/>
    <mergeCell ref="A22:E22"/>
    <mergeCell ref="A29:E29"/>
  </mergeCells>
  <phoneticPr fontId="24" type="noConversion"/>
  <hyperlinks>
    <hyperlink ref="C3" r:id="rId1" xr:uid="{7B6248EE-00C8-4ECC-9A00-AF5FA6F868E4}"/>
    <hyperlink ref="C5" r:id="rId2" xr:uid="{DC98B56B-7BE2-494D-856A-8612D9E4D63B}"/>
    <hyperlink ref="C6" r:id="rId3" xr:uid="{93F3D128-11A0-4DA4-8F2F-A7749A9CC71E}"/>
    <hyperlink ref="C4" r:id="rId4" xr:uid="{B2BE21D1-F0E2-4E75-B866-F8294F9F565D}"/>
  </hyperlinks>
  <pageMargins left="0.7" right="0.7" top="0.75" bottom="0.75" header="0.3" footer="0.3"/>
  <pageSetup orientation="portrait" horizontalDpi="300" verticalDpi="30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102B0-E473-4DEC-AC7A-661994F87058}">
  <sheetPr codeName="Sheet4"/>
  <dimension ref="A1:E57"/>
  <sheetViews>
    <sheetView zoomScale="90" zoomScaleNormal="90" workbookViewId="0">
      <pane ySplit="1" topLeftCell="A14" activePane="bottomLeft" state="frozen"/>
      <selection pane="bottomLeft" activeCell="B26" sqref="B26"/>
    </sheetView>
  </sheetViews>
  <sheetFormatPr defaultColWidth="8.77734375" defaultRowHeight="14.4" x14ac:dyDescent="0.3"/>
  <cols>
    <col min="1" max="1" width="14.33203125" style="1" bestFit="1" customWidth="1"/>
    <col min="2" max="2" width="3.33203125" style="1" bestFit="1" customWidth="1"/>
    <col min="3" max="3" width="29.109375" style="1" bestFit="1" customWidth="1"/>
    <col min="4" max="4" width="26.77734375" style="1" bestFit="1" customWidth="1"/>
    <col min="5" max="5" width="21.109375" style="1" bestFit="1" customWidth="1"/>
    <col min="6" max="16384" width="8.77734375" style="1"/>
  </cols>
  <sheetData>
    <row r="1" spans="1:5" x14ac:dyDescent="0.3">
      <c r="A1" s="2" t="s">
        <v>424</v>
      </c>
      <c r="B1" s="2"/>
      <c r="C1" s="2" t="s">
        <v>422</v>
      </c>
      <c r="D1" s="2" t="s">
        <v>423</v>
      </c>
      <c r="E1" s="2" t="s">
        <v>425</v>
      </c>
    </row>
    <row r="2" spans="1:5" x14ac:dyDescent="0.3">
      <c r="A2" s="27" t="s">
        <v>486</v>
      </c>
      <c r="B2" s="27"/>
      <c r="C2" s="27"/>
      <c r="D2" s="27"/>
      <c r="E2" s="27"/>
    </row>
    <row r="3" spans="1:5" x14ac:dyDescent="0.3">
      <c r="A3" s="1" t="s">
        <v>394</v>
      </c>
      <c r="B3" s="1" t="s">
        <v>303</v>
      </c>
      <c r="C3" s="1" t="s">
        <v>403</v>
      </c>
      <c r="D3" s="1" t="s">
        <v>348</v>
      </c>
    </row>
    <row r="4" spans="1:5" x14ac:dyDescent="0.3">
      <c r="A4" s="1" t="s">
        <v>392</v>
      </c>
      <c r="B4" s="1" t="s">
        <v>303</v>
      </c>
      <c r="C4" s="1" t="s">
        <v>404</v>
      </c>
      <c r="D4" s="1" t="s">
        <v>414</v>
      </c>
    </row>
    <row r="5" spans="1:5" x14ac:dyDescent="0.3">
      <c r="A5" s="1" t="s">
        <v>389</v>
      </c>
      <c r="B5" s="1" t="s">
        <v>303</v>
      </c>
      <c r="C5" s="1" t="s">
        <v>405</v>
      </c>
      <c r="D5" s="1" t="s">
        <v>415</v>
      </c>
    </row>
    <row r="6" spans="1:5" x14ac:dyDescent="0.3">
      <c r="A6" s="1" t="s">
        <v>387</v>
      </c>
      <c r="B6" s="1" t="s">
        <v>303</v>
      </c>
      <c r="C6" s="1" t="s">
        <v>406</v>
      </c>
      <c r="D6" s="1" t="s">
        <v>416</v>
      </c>
    </row>
    <row r="7" spans="1:5" x14ac:dyDescent="0.3">
      <c r="A7" s="1" t="s">
        <v>456</v>
      </c>
      <c r="B7" s="1" t="s">
        <v>303</v>
      </c>
      <c r="C7" s="1" t="s">
        <v>407</v>
      </c>
      <c r="D7" s="1" t="s">
        <v>417</v>
      </c>
    </row>
    <row r="8" spans="1:5" x14ac:dyDescent="0.3">
      <c r="A8" s="1" t="s">
        <v>393</v>
      </c>
      <c r="B8" s="1" t="s">
        <v>303</v>
      </c>
      <c r="C8" s="1" t="s">
        <v>408</v>
      </c>
      <c r="D8" s="1" t="s">
        <v>347</v>
      </c>
    </row>
    <row r="9" spans="1:5" x14ac:dyDescent="0.3">
      <c r="A9" s="1" t="s">
        <v>457</v>
      </c>
      <c r="B9" s="1" t="s">
        <v>303</v>
      </c>
      <c r="C9" s="1" t="s">
        <v>409</v>
      </c>
      <c r="D9" s="1" t="s">
        <v>418</v>
      </c>
    </row>
    <row r="10" spans="1:5" x14ac:dyDescent="0.3">
      <c r="A10" s="1" t="s">
        <v>390</v>
      </c>
      <c r="B10" s="1" t="s">
        <v>303</v>
      </c>
      <c r="C10" s="1" t="s">
        <v>410</v>
      </c>
      <c r="D10" s="1" t="s">
        <v>419</v>
      </c>
    </row>
    <row r="11" spans="1:5" x14ac:dyDescent="0.3">
      <c r="A11" s="1" t="s">
        <v>391</v>
      </c>
      <c r="B11" s="1" t="s">
        <v>303</v>
      </c>
      <c r="C11" s="1" t="s">
        <v>411</v>
      </c>
      <c r="D11" s="1" t="s">
        <v>332</v>
      </c>
    </row>
    <row r="12" spans="1:5" x14ac:dyDescent="0.3">
      <c r="A12" s="1" t="s">
        <v>402</v>
      </c>
      <c r="B12" s="1" t="s">
        <v>303</v>
      </c>
      <c r="C12" s="1" t="s">
        <v>430</v>
      </c>
      <c r="D12" s="1" t="s">
        <v>420</v>
      </c>
    </row>
    <row r="13" spans="1:5" x14ac:dyDescent="0.3">
      <c r="A13" s="1" t="s">
        <v>388</v>
      </c>
      <c r="B13" s="1" t="s">
        <v>303</v>
      </c>
      <c r="C13" s="1" t="s">
        <v>412</v>
      </c>
      <c r="D13" s="1" t="s">
        <v>526</v>
      </c>
    </row>
    <row r="14" spans="1:5" x14ac:dyDescent="0.3">
      <c r="A14" s="1" t="s">
        <v>395</v>
      </c>
      <c r="B14" s="1" t="s">
        <v>303</v>
      </c>
      <c r="C14" s="1" t="s">
        <v>413</v>
      </c>
      <c r="D14" s="1" t="s">
        <v>421</v>
      </c>
    </row>
    <row r="15" spans="1:5" x14ac:dyDescent="0.3">
      <c r="A15" s="1" t="s">
        <v>763</v>
      </c>
      <c r="B15" s="1" t="s">
        <v>303</v>
      </c>
      <c r="C15" s="1" t="s">
        <v>752</v>
      </c>
      <c r="D15" s="1" t="s">
        <v>751</v>
      </c>
    </row>
    <row r="17" spans="1:5" x14ac:dyDescent="0.3">
      <c r="A17" s="27" t="s">
        <v>517</v>
      </c>
      <c r="B17" s="27"/>
      <c r="C17" s="27"/>
      <c r="D17" s="27"/>
      <c r="E17" s="27"/>
    </row>
    <row r="18" spans="1:5" x14ac:dyDescent="0.3">
      <c r="A18" s="1" t="s">
        <v>463</v>
      </c>
      <c r="B18" s="1" t="s">
        <v>303</v>
      </c>
      <c r="C18" s="1" t="s">
        <v>427</v>
      </c>
    </row>
    <row r="19" spans="1:5" x14ac:dyDescent="0.3">
      <c r="A19" s="1" t="s">
        <v>428</v>
      </c>
      <c r="B19" s="1" t="s">
        <v>303</v>
      </c>
      <c r="C19" s="1" t="s">
        <v>429</v>
      </c>
    </row>
    <row r="20" spans="1:5" x14ac:dyDescent="0.3">
      <c r="A20" s="1" t="s">
        <v>435</v>
      </c>
      <c r="B20" s="1" t="s">
        <v>303</v>
      </c>
      <c r="C20" s="1" t="s">
        <v>436</v>
      </c>
    </row>
    <row r="22" spans="1:5" x14ac:dyDescent="0.3">
      <c r="A22" s="28" t="s">
        <v>807</v>
      </c>
      <c r="B22" s="28"/>
      <c r="C22" s="28"/>
      <c r="D22" s="28"/>
      <c r="E22" s="28"/>
    </row>
    <row r="23" spans="1:5" x14ac:dyDescent="0.3">
      <c r="A23" s="1" t="s">
        <v>472</v>
      </c>
      <c r="B23" s="1" t="s">
        <v>303</v>
      </c>
      <c r="C23" s="1" t="s">
        <v>805</v>
      </c>
      <c r="E23" s="1" t="s">
        <v>806</v>
      </c>
    </row>
    <row r="25" spans="1:5" x14ac:dyDescent="0.3">
      <c r="A25" s="28" t="s">
        <v>808</v>
      </c>
      <c r="B25" s="28"/>
      <c r="C25" s="28"/>
      <c r="D25" s="28"/>
      <c r="E25" s="28"/>
    </row>
    <row r="26" spans="1:5" x14ac:dyDescent="0.3">
      <c r="A26" s="1" t="s">
        <v>472</v>
      </c>
      <c r="B26" s="1" t="s">
        <v>303</v>
      </c>
      <c r="C26" s="1" t="s">
        <v>810</v>
      </c>
      <c r="E26" s="1" t="s">
        <v>809</v>
      </c>
    </row>
    <row r="28" spans="1:5" x14ac:dyDescent="0.3">
      <c r="A28" s="28" t="s">
        <v>520</v>
      </c>
      <c r="B28" s="28"/>
      <c r="C28" s="28"/>
      <c r="D28" s="28"/>
      <c r="E28" s="28"/>
    </row>
    <row r="29" spans="1:5" x14ac:dyDescent="0.3">
      <c r="A29" s="1" t="s">
        <v>445</v>
      </c>
      <c r="B29" s="1" t="s">
        <v>303</v>
      </c>
      <c r="C29" s="1" t="s">
        <v>443</v>
      </c>
    </row>
    <row r="30" spans="1:5" x14ac:dyDescent="0.3">
      <c r="A30" s="1" t="s">
        <v>445</v>
      </c>
      <c r="B30" s="1" t="s">
        <v>303</v>
      </c>
      <c r="C30" s="1" t="s">
        <v>444</v>
      </c>
    </row>
    <row r="32" spans="1:5" x14ac:dyDescent="0.3">
      <c r="A32" s="1" t="s">
        <v>446</v>
      </c>
      <c r="B32" s="1" t="s">
        <v>303</v>
      </c>
      <c r="C32" s="1" t="s">
        <v>440</v>
      </c>
    </row>
    <row r="33" spans="1:5" x14ac:dyDescent="0.3">
      <c r="A33" s="1" t="s">
        <v>446</v>
      </c>
      <c r="B33" s="1" t="s">
        <v>303</v>
      </c>
      <c r="C33" s="1" t="s">
        <v>437</v>
      </c>
    </row>
    <row r="34" spans="1:5" x14ac:dyDescent="0.3">
      <c r="A34" s="1" t="s">
        <v>446</v>
      </c>
      <c r="B34" s="1" t="s">
        <v>303</v>
      </c>
      <c r="C34" s="1" t="s">
        <v>342</v>
      </c>
    </row>
    <row r="35" spans="1:5" x14ac:dyDescent="0.3">
      <c r="A35" s="1" t="s">
        <v>446</v>
      </c>
      <c r="B35" s="1" t="s">
        <v>303</v>
      </c>
      <c r="C35" s="1" t="s">
        <v>438</v>
      </c>
    </row>
    <row r="36" spans="1:5" x14ac:dyDescent="0.3">
      <c r="A36" s="1" t="s">
        <v>446</v>
      </c>
      <c r="B36" s="1" t="s">
        <v>303</v>
      </c>
      <c r="C36" s="1" t="s">
        <v>439</v>
      </c>
    </row>
    <row r="37" spans="1:5" x14ac:dyDescent="0.3">
      <c r="A37" s="1" t="s">
        <v>446</v>
      </c>
      <c r="B37" s="1" t="s">
        <v>303</v>
      </c>
      <c r="C37" s="1" t="s">
        <v>432</v>
      </c>
    </row>
    <row r="38" spans="1:5" x14ac:dyDescent="0.3">
      <c r="A38" s="1" t="s">
        <v>446</v>
      </c>
      <c r="B38" s="1" t="s">
        <v>303</v>
      </c>
      <c r="C38" s="1" t="s">
        <v>433</v>
      </c>
    </row>
    <row r="40" spans="1:5" x14ac:dyDescent="0.3">
      <c r="A40" s="1" t="s">
        <v>447</v>
      </c>
      <c r="B40" s="1" t="s">
        <v>303</v>
      </c>
      <c r="C40" s="1" t="s">
        <v>332</v>
      </c>
      <c r="E40" s="1" t="s">
        <v>448</v>
      </c>
    </row>
    <row r="41" spans="1:5" x14ac:dyDescent="0.3">
      <c r="A41" s="1" t="s">
        <v>447</v>
      </c>
      <c r="B41" s="1" t="s">
        <v>303</v>
      </c>
      <c r="C41" s="1" t="s">
        <v>751</v>
      </c>
      <c r="E41" s="1" t="s">
        <v>752</v>
      </c>
    </row>
    <row r="42" spans="1:5" x14ac:dyDescent="0.3">
      <c r="A42" s="1" t="s">
        <v>447</v>
      </c>
      <c r="B42" s="1" t="s">
        <v>303</v>
      </c>
      <c r="C42" s="1" t="s">
        <v>419</v>
      </c>
      <c r="E42" s="1" t="s">
        <v>449</v>
      </c>
    </row>
    <row r="43" spans="1:5" x14ac:dyDescent="0.3">
      <c r="A43" s="1" t="s">
        <v>447</v>
      </c>
      <c r="B43" s="1" t="s">
        <v>303</v>
      </c>
      <c r="C43" s="1" t="s">
        <v>441</v>
      </c>
      <c r="E43" s="1" t="s">
        <v>431</v>
      </c>
    </row>
    <row r="44" spans="1:5" x14ac:dyDescent="0.3">
      <c r="A44" s="1" t="s">
        <v>447</v>
      </c>
      <c r="B44" s="1" t="s">
        <v>303</v>
      </c>
      <c r="C44" s="1" t="s">
        <v>347</v>
      </c>
      <c r="E44" s="1" t="s">
        <v>450</v>
      </c>
    </row>
    <row r="45" spans="1:5" x14ac:dyDescent="0.3">
      <c r="A45" s="1" t="s">
        <v>447</v>
      </c>
      <c r="B45" s="1" t="s">
        <v>303</v>
      </c>
      <c r="C45" s="1" t="s">
        <v>442</v>
      </c>
      <c r="E45" s="1" t="s">
        <v>451</v>
      </c>
    </row>
    <row r="46" spans="1:5" x14ac:dyDescent="0.3">
      <c r="A46" s="1" t="s">
        <v>447</v>
      </c>
      <c r="B46" s="1" t="s">
        <v>303</v>
      </c>
      <c r="C46" s="1" t="s">
        <v>474</v>
      </c>
      <c r="E46" s="1" t="s">
        <v>471</v>
      </c>
    </row>
    <row r="48" spans="1:5" x14ac:dyDescent="0.3">
      <c r="A48" s="29" t="s">
        <v>521</v>
      </c>
      <c r="B48" s="29"/>
      <c r="C48" s="29"/>
      <c r="D48" s="29"/>
      <c r="E48" s="29"/>
    </row>
    <row r="49" spans="1:3" x14ac:dyDescent="0.3">
      <c r="A49" s="1" t="s">
        <v>434</v>
      </c>
      <c r="B49" s="1" t="s">
        <v>303</v>
      </c>
      <c r="C49" s="16" t="s">
        <v>347</v>
      </c>
    </row>
    <row r="50" spans="1:3" x14ac:dyDescent="0.3">
      <c r="A50" s="1" t="s">
        <v>434</v>
      </c>
      <c r="B50" s="1" t="s">
        <v>303</v>
      </c>
      <c r="C50" s="16" t="s">
        <v>348</v>
      </c>
    </row>
    <row r="51" spans="1:3" x14ac:dyDescent="0.3">
      <c r="A51" s="1" t="s">
        <v>434</v>
      </c>
      <c r="B51" s="1" t="s">
        <v>303</v>
      </c>
      <c r="C51" s="16" t="s">
        <v>331</v>
      </c>
    </row>
    <row r="52" spans="1:3" x14ac:dyDescent="0.3">
      <c r="A52" s="1" t="s">
        <v>434</v>
      </c>
      <c r="B52" s="1" t="s">
        <v>303</v>
      </c>
      <c r="C52" s="16" t="s">
        <v>332</v>
      </c>
    </row>
    <row r="53" spans="1:3" x14ac:dyDescent="0.3">
      <c r="A53" s="1" t="s">
        <v>434</v>
      </c>
      <c r="B53" s="1" t="s">
        <v>303</v>
      </c>
      <c r="C53" s="16" t="s">
        <v>333</v>
      </c>
    </row>
    <row r="54" spans="1:3" x14ac:dyDescent="0.3">
      <c r="A54" s="1" t="s">
        <v>434</v>
      </c>
      <c r="B54" s="1" t="s">
        <v>303</v>
      </c>
      <c r="C54" s="16" t="s">
        <v>334</v>
      </c>
    </row>
    <row r="55" spans="1:3" x14ac:dyDescent="0.3">
      <c r="A55" s="1" t="s">
        <v>434</v>
      </c>
      <c r="B55" s="1" t="s">
        <v>303</v>
      </c>
      <c r="C55" s="16" t="s">
        <v>340</v>
      </c>
    </row>
    <row r="56" spans="1:3" x14ac:dyDescent="0.3">
      <c r="A56" s="1" t="s">
        <v>434</v>
      </c>
      <c r="B56" s="1" t="s">
        <v>303</v>
      </c>
      <c r="C56" s="16" t="s">
        <v>341</v>
      </c>
    </row>
    <row r="57" spans="1:3" x14ac:dyDescent="0.3">
      <c r="A57" s="1" t="s">
        <v>434</v>
      </c>
      <c r="B57" s="1" t="s">
        <v>303</v>
      </c>
      <c r="C57" s="16" t="s">
        <v>342</v>
      </c>
    </row>
  </sheetData>
  <mergeCells count="6">
    <mergeCell ref="A25:E25"/>
    <mergeCell ref="A28:E28"/>
    <mergeCell ref="A48:E48"/>
    <mergeCell ref="A17:E17"/>
    <mergeCell ref="A2:E2"/>
    <mergeCell ref="A22:E22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28264-9758-4A94-9029-2C4C1F929343}">
  <sheetPr codeName="Sheet1"/>
  <dimension ref="A1:J24"/>
  <sheetViews>
    <sheetView zoomScale="90" zoomScaleNormal="90" workbookViewId="0">
      <selection activeCell="A10" sqref="A10"/>
    </sheetView>
  </sheetViews>
  <sheetFormatPr defaultRowHeight="14.4" x14ac:dyDescent="0.3"/>
  <cols>
    <col min="1" max="1" width="5.21875" bestFit="1" customWidth="1"/>
    <col min="2" max="2" width="22.88671875" bestFit="1" customWidth="1"/>
    <col min="3" max="3" width="3.109375" bestFit="1" customWidth="1"/>
    <col min="4" max="4" width="49.21875" customWidth="1"/>
    <col min="5" max="5" width="14" bestFit="1" customWidth="1"/>
  </cols>
  <sheetData>
    <row r="1" spans="1:5" s="1" customFormat="1" x14ac:dyDescent="0.3">
      <c r="A1" s="2" t="s">
        <v>0</v>
      </c>
      <c r="B1" s="2" t="s">
        <v>100</v>
      </c>
      <c r="C1" s="2"/>
      <c r="D1" s="2" t="s">
        <v>318</v>
      </c>
      <c r="E1" s="2" t="s">
        <v>234</v>
      </c>
    </row>
    <row r="2" spans="1:5" s="7" customFormat="1" x14ac:dyDescent="0.3">
      <c r="B2" s="10" t="s">
        <v>238</v>
      </c>
      <c r="C2" s="10"/>
      <c r="D2" s="10" t="s">
        <v>240</v>
      </c>
    </row>
    <row r="3" spans="1:5" s="7" customFormat="1" x14ac:dyDescent="0.3">
      <c r="B3" s="10" t="s">
        <v>239</v>
      </c>
      <c r="C3" s="10"/>
      <c r="D3" s="10" t="s">
        <v>519</v>
      </c>
      <c r="E3" s="15"/>
    </row>
    <row r="4" spans="1:5" s="1" customFormat="1" x14ac:dyDescent="0.3">
      <c r="A4" s="3"/>
      <c r="B4" s="32" t="s">
        <v>376</v>
      </c>
      <c r="C4" s="32"/>
      <c r="D4" s="32"/>
    </row>
    <row r="5" spans="1:5" x14ac:dyDescent="0.3">
      <c r="A5" t="s">
        <v>1</v>
      </c>
      <c r="B5" s="30" t="s">
        <v>309</v>
      </c>
      <c r="C5" s="30"/>
      <c r="D5" s="30"/>
    </row>
    <row r="6" spans="1:5" x14ac:dyDescent="0.3">
      <c r="A6" t="s">
        <v>1</v>
      </c>
      <c r="B6" s="10" t="str" cm="1">
        <f t="array" aca="1" ref="B6" ca="1">"#Include " &amp; path &amp; E6</f>
        <v>#Include D:\OneDrive\Au\Apps\Ahk\App_auto\Automate_prd.ahk</v>
      </c>
      <c r="C6" s="10"/>
      <c r="D6" s="10"/>
      <c r="E6" t="s">
        <v>481</v>
      </c>
    </row>
    <row r="7" spans="1:5" x14ac:dyDescent="0.3">
      <c r="A7" t="s">
        <v>1</v>
      </c>
      <c r="B7" s="10" t="str" cm="1">
        <f t="array" aca="1" ref="B7" ca="1">"#Include " &amp; path &amp; E7</f>
        <v>#Include D:\OneDrive\Au\Apps\Ahk\App_auto\Automate_qas.ahk</v>
      </c>
      <c r="C7" s="10"/>
      <c r="D7" s="10"/>
      <c r="E7" t="s">
        <v>482</v>
      </c>
    </row>
    <row r="8" spans="1:5" x14ac:dyDescent="0.3">
      <c r="B8" s="18"/>
      <c r="C8" s="18"/>
      <c r="D8" s="18"/>
    </row>
    <row r="9" spans="1:5" s="1" customFormat="1" x14ac:dyDescent="0.3">
      <c r="A9" s="3"/>
      <c r="B9" s="32" t="s">
        <v>518</v>
      </c>
      <c r="C9" s="32"/>
      <c r="D9" s="32"/>
    </row>
    <row r="10" spans="1:5" s="7" customFormat="1" x14ac:dyDescent="0.3">
      <c r="A10" s="7" t="s">
        <v>1</v>
      </c>
      <c r="B10" s="30" t="s">
        <v>354</v>
      </c>
      <c r="C10" s="30"/>
      <c r="D10" s="30"/>
    </row>
    <row r="11" spans="1:5" s="7" customFormat="1" x14ac:dyDescent="0.3">
      <c r="A11" s="7" t="s">
        <v>1</v>
      </c>
      <c r="B11" s="30" t="s">
        <v>355</v>
      </c>
      <c r="C11" s="30"/>
      <c r="D11" s="30"/>
    </row>
    <row r="12" spans="1:5" s="7" customFormat="1" x14ac:dyDescent="0.3">
      <c r="B12" s="30" t="s">
        <v>356</v>
      </c>
      <c r="C12" s="30"/>
      <c r="D12" s="30"/>
    </row>
    <row r="13" spans="1:5" s="7" customFormat="1" x14ac:dyDescent="0.3">
      <c r="B13" s="30" t="s">
        <v>396</v>
      </c>
      <c r="C13" s="30"/>
      <c r="D13" s="30"/>
    </row>
    <row r="14" spans="1:5" s="7" customFormat="1" x14ac:dyDescent="0.3">
      <c r="A14" s="7" t="s">
        <v>1</v>
      </c>
      <c r="B14" s="30" t="s">
        <v>358</v>
      </c>
      <c r="C14" s="30"/>
      <c r="D14" s="30"/>
    </row>
    <row r="15" spans="1:5" s="7" customFormat="1" x14ac:dyDescent="0.3">
      <c r="A15" s="7" t="s">
        <v>1</v>
      </c>
      <c r="B15" s="30" t="s">
        <v>359</v>
      </c>
      <c r="C15" s="30"/>
      <c r="D15" s="30"/>
    </row>
    <row r="16" spans="1:5" s="7" customFormat="1" x14ac:dyDescent="0.3">
      <c r="B16" s="1"/>
      <c r="C16" s="1"/>
      <c r="D16" s="1"/>
    </row>
    <row r="17" spans="1:10" s="7" customFormat="1" x14ac:dyDescent="0.3">
      <c r="B17" s="32" t="s">
        <v>377</v>
      </c>
      <c r="C17" s="32"/>
      <c r="D17" s="32"/>
    </row>
    <row r="18" spans="1:10" x14ac:dyDescent="0.3">
      <c r="A18" s="7" t="s">
        <v>1</v>
      </c>
      <c r="B18" s="31" t="s">
        <v>313</v>
      </c>
      <c r="C18" s="31"/>
      <c r="D18" s="31"/>
    </row>
    <row r="19" spans="1:10" s="12" customFormat="1" x14ac:dyDescent="0.3">
      <c r="B19" s="11"/>
      <c r="C19" s="11"/>
      <c r="D19" s="11"/>
    </row>
    <row r="20" spans="1:10" s="7" customFormat="1" x14ac:dyDescent="0.3">
      <c r="A20" s="7" t="s">
        <v>1</v>
      </c>
      <c r="B20" s="33" t="s">
        <v>311</v>
      </c>
      <c r="C20" s="33"/>
      <c r="D20" s="33"/>
    </row>
    <row r="21" spans="1:10" s="7" customFormat="1" x14ac:dyDescent="0.3">
      <c r="A21" s="7" t="s">
        <v>1</v>
      </c>
      <c r="B21" s="22" t="s">
        <v>491</v>
      </c>
      <c r="C21" s="10"/>
      <c r="D21" s="10"/>
    </row>
    <row r="22" spans="1:10" s="1" customFormat="1" x14ac:dyDescent="0.3">
      <c r="A22" s="1" t="s">
        <v>1</v>
      </c>
      <c r="B22" s="22" t="str">
        <f>CONCATENATE("go.varglobal(",quote,E22,quoteclose)</f>
        <v>go.varglobal("D:\OneDrive\Au\Apps\Ahk\App_om\omt.ini")</v>
      </c>
      <c r="C22" s="10"/>
      <c r="D22" s="10"/>
      <c r="E22" s="1" t="s">
        <v>785</v>
      </c>
      <c r="J22" s="20"/>
    </row>
    <row r="23" spans="1:10" s="1" customFormat="1" x14ac:dyDescent="0.3">
      <c r="A23" s="1" t="s">
        <v>1</v>
      </c>
      <c r="B23" s="22" t="str">
        <f ca="1">CONCATENATE("go.varglobal(",quote,path,E23,quoteclose)</f>
        <v>go.varglobal("D:\OneDrive\Au\Apps\Ahk\App_auto\files\automate.ini")</v>
      </c>
      <c r="C23" s="10"/>
      <c r="D23" s="10"/>
      <c r="E23" s="1" t="s">
        <v>479</v>
      </c>
    </row>
    <row r="24" spans="1:10" s="7" customFormat="1" x14ac:dyDescent="0.3">
      <c r="A24" s="7" t="s">
        <v>1</v>
      </c>
      <c r="B24" s="33" t="s">
        <v>312</v>
      </c>
      <c r="C24" s="33"/>
      <c r="D24" s="33"/>
    </row>
  </sheetData>
  <mergeCells count="13">
    <mergeCell ref="B20:D20"/>
    <mergeCell ref="B24:D24"/>
    <mergeCell ref="B11:D11"/>
    <mergeCell ref="B17:D17"/>
    <mergeCell ref="B12:D12"/>
    <mergeCell ref="B14:D14"/>
    <mergeCell ref="B15:D15"/>
    <mergeCell ref="B10:D10"/>
    <mergeCell ref="B18:D18"/>
    <mergeCell ref="B4:D4"/>
    <mergeCell ref="B5:D5"/>
    <mergeCell ref="B9:D9"/>
    <mergeCell ref="B13:D13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1235C-AB9E-43A2-92FE-8510F7FE1F5E}">
  <sheetPr codeName="Hoja13">
    <tabColor theme="4"/>
  </sheetPr>
  <dimension ref="A1:E15"/>
  <sheetViews>
    <sheetView zoomScale="90" zoomScaleNormal="90" workbookViewId="0">
      <selection activeCell="B11" sqref="B11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2" spans="1:5" x14ac:dyDescent="0.3">
      <c r="A2" s="3"/>
      <c r="B2" s="26" t="str">
        <f>E2</f>
        <v>Hs.</v>
      </c>
      <c r="C2" s="26"/>
      <c r="D2" s="26"/>
      <c r="E2" s="25" t="s">
        <v>776</v>
      </c>
    </row>
    <row r="3" spans="1:5" x14ac:dyDescent="0.3">
      <c r="D3" s="10"/>
    </row>
    <row r="4" spans="1:5" x14ac:dyDescent="0.3">
      <c r="B4" s="34" t="str">
        <f>E4</f>
        <v>Key Left EN.</v>
      </c>
      <c r="C4" s="34"/>
      <c r="D4" s="34"/>
      <c r="E4" s="25" t="s">
        <v>777</v>
      </c>
    </row>
    <row r="5" spans="1:5" x14ac:dyDescent="0.3">
      <c r="B5" s="1" t="s">
        <v>328</v>
      </c>
      <c r="C5" s="1" t="s">
        <v>109</v>
      </c>
      <c r="D5" s="10" t="s">
        <v>452</v>
      </c>
    </row>
    <row r="6" spans="1:5" x14ac:dyDescent="0.3">
      <c r="B6" s="1" t="s">
        <v>385</v>
      </c>
      <c r="C6" s="1" t="s">
        <v>109</v>
      </c>
      <c r="D6" s="10" t="s">
        <v>452</v>
      </c>
    </row>
    <row r="7" spans="1:5" x14ac:dyDescent="0.3">
      <c r="B7" s="1" t="s">
        <v>386</v>
      </c>
      <c r="C7" s="1" t="s">
        <v>109</v>
      </c>
      <c r="D7" s="10" t="str">
        <f>CONCATENATE("Send %",E7,"%")</f>
        <v>Send %%</v>
      </c>
    </row>
    <row r="8" spans="1:5" x14ac:dyDescent="0.3">
      <c r="B8" s="1" t="s">
        <v>382</v>
      </c>
      <c r="C8" s="1" t="s">
        <v>109</v>
      </c>
      <c r="D8" s="10" t="str">
        <f>CONCATENATE("Send %",E8,"%")</f>
        <v>Send %%</v>
      </c>
    </row>
    <row r="9" spans="1:5" x14ac:dyDescent="0.3">
      <c r="B9" s="1" t="s">
        <v>383</v>
      </c>
      <c r="C9" s="1" t="s">
        <v>109</v>
      </c>
      <c r="D9" s="10" t="str">
        <f>CONCATENATE("Send %",E9,"%")</f>
        <v>Send %%</v>
      </c>
    </row>
    <row r="10" spans="1:5" x14ac:dyDescent="0.3">
      <c r="B10" s="1" t="s">
        <v>381</v>
      </c>
      <c r="C10" s="1" t="s">
        <v>109</v>
      </c>
      <c r="D10" s="10" t="str">
        <f>CONCATENATE("Send %",E10,"%")</f>
        <v>Send %%</v>
      </c>
    </row>
    <row r="11" spans="1:5" x14ac:dyDescent="0.3">
      <c r="B11" s="1" t="s">
        <v>380</v>
      </c>
      <c r="C11" s="1" t="s">
        <v>109</v>
      </c>
      <c r="D11" s="10" t="str">
        <f>CONCATENATE("Send %",E11,"%")</f>
        <v>Send %%</v>
      </c>
    </row>
    <row r="13" spans="1:5" x14ac:dyDescent="0.3">
      <c r="A13" s="3"/>
      <c r="B13" s="34" t="str">
        <f>E13</f>
        <v>Key Right EN.</v>
      </c>
      <c r="C13" s="34"/>
      <c r="D13" s="34"/>
      <c r="E13" s="25" t="s">
        <v>778</v>
      </c>
    </row>
    <row r="14" spans="1:5" x14ac:dyDescent="0.3">
      <c r="B14" s="1" t="s">
        <v>378</v>
      </c>
      <c r="C14" s="1" t="s">
        <v>109</v>
      </c>
      <c r="D14" s="10" t="str">
        <f>CONCATENATE("Send %",E14,"%")</f>
        <v>Send %%</v>
      </c>
    </row>
    <row r="15" spans="1:5" x14ac:dyDescent="0.3">
      <c r="B15" s="1" t="s">
        <v>379</v>
      </c>
      <c r="C15" s="1" t="s">
        <v>109</v>
      </c>
      <c r="D15" s="10" t="str">
        <f>CONCATENATE("Send %",E15,"%")</f>
        <v>Send %%</v>
      </c>
    </row>
  </sheetData>
  <dataConsolidate function="average">
    <dataRefs count="5">
      <dataRef ref="B1:D1048576" sheet="2_app"/>
      <dataRef ref="B1:D1048576" sheet="2_win"/>
      <dataRef ref="B1:D1048576" sheet="3_app"/>
      <dataRef ref="B1:D1048576" sheet="3_sap"/>
      <dataRef ref="B1:D1048576" sheet="3_win"/>
    </dataRefs>
  </dataConsolidate>
  <mergeCells count="3">
    <mergeCell ref="B2:D2"/>
    <mergeCell ref="B4:D4"/>
    <mergeCell ref="B13:D13"/>
  </mergeCells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E0BDB-0D94-4F7D-8EDA-914527BD5B99}">
  <sheetPr codeName="Hoja12">
    <tabColor rgb="FFC00000"/>
  </sheetPr>
  <dimension ref="A1:E63"/>
  <sheetViews>
    <sheetView topLeftCell="A13" zoomScale="90" zoomScaleNormal="90" workbookViewId="0">
      <selection activeCell="D31" sqref="D31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2" spans="1:5" x14ac:dyDescent="0.3">
      <c r="A2" s="3"/>
      <c r="B2" s="26" t="str">
        <f>E2</f>
        <v>Hs.</v>
      </c>
      <c r="C2" s="26"/>
      <c r="D2" s="26"/>
      <c r="E2" s="25" t="s">
        <v>776</v>
      </c>
    </row>
    <row r="3" spans="1:5" x14ac:dyDescent="0.3">
      <c r="A3" s="1" t="s">
        <v>1</v>
      </c>
      <c r="B3" s="1" t="s">
        <v>754</v>
      </c>
      <c r="C3" s="1" t="s">
        <v>109</v>
      </c>
      <c r="D3" s="10" t="str">
        <f t="shared" ref="D3:D10" si="0">CONCATENATE("go.sendcopy(",quote,E3,quoteclose)</f>
        <v>go.sendcopy("á")</v>
      </c>
      <c r="E3" s="1" t="s">
        <v>753</v>
      </c>
    </row>
    <row r="4" spans="1:5" x14ac:dyDescent="0.3">
      <c r="A4" s="1" t="s">
        <v>1</v>
      </c>
      <c r="B4" s="1" t="s">
        <v>755</v>
      </c>
      <c r="C4" s="1" t="s">
        <v>109</v>
      </c>
      <c r="D4" s="10" t="str">
        <f t="shared" si="0"/>
        <v>go.sendcopy("é")</v>
      </c>
      <c r="E4" s="1" t="s">
        <v>762</v>
      </c>
    </row>
    <row r="5" spans="1:5" x14ac:dyDescent="0.3">
      <c r="A5" s="1" t="s">
        <v>1</v>
      </c>
      <c r="B5" s="1" t="s">
        <v>756</v>
      </c>
      <c r="C5" s="1" t="s">
        <v>109</v>
      </c>
      <c r="D5" s="10" t="str">
        <f t="shared" si="0"/>
        <v>go.sendcopy("í")</v>
      </c>
      <c r="E5" s="1" t="s">
        <v>761</v>
      </c>
    </row>
    <row r="6" spans="1:5" x14ac:dyDescent="0.3">
      <c r="A6" s="1" t="s">
        <v>1</v>
      </c>
      <c r="B6" s="1" t="s">
        <v>757</v>
      </c>
      <c r="C6" s="1" t="s">
        <v>109</v>
      </c>
      <c r="D6" s="10" t="str">
        <f t="shared" si="0"/>
        <v>go.sendcopy("ó")</v>
      </c>
      <c r="E6" s="1" t="s">
        <v>759</v>
      </c>
    </row>
    <row r="7" spans="1:5" x14ac:dyDescent="0.3">
      <c r="A7" s="1" t="s">
        <v>1</v>
      </c>
      <c r="B7" s="1" t="s">
        <v>758</v>
      </c>
      <c r="C7" s="1" t="s">
        <v>109</v>
      </c>
      <c r="D7" s="10" t="str">
        <f t="shared" si="0"/>
        <v>go.sendcopy("ú")</v>
      </c>
      <c r="E7" s="1" t="s">
        <v>760</v>
      </c>
    </row>
    <row r="8" spans="1:5" x14ac:dyDescent="0.3">
      <c r="A8" s="1" t="s">
        <v>1</v>
      </c>
      <c r="B8" s="1" t="s">
        <v>226</v>
      </c>
      <c r="C8" s="1" t="s">
        <v>109</v>
      </c>
      <c r="D8" s="10" t="str">
        <f t="shared" si="0"/>
        <v>go.sendcopy("zomt_ticket")</v>
      </c>
      <c r="E8" s="1" t="s">
        <v>783</v>
      </c>
    </row>
    <row r="9" spans="1:5" x14ac:dyDescent="0.3">
      <c r="A9" s="1" t="s">
        <v>1</v>
      </c>
      <c r="B9" s="1" t="s">
        <v>243</v>
      </c>
      <c r="C9" s="1" t="s">
        <v>109</v>
      </c>
      <c r="D9" s="10" t="str">
        <f t="shared" si="0"/>
        <v>go.sendcopy("zomt_desc")</v>
      </c>
      <c r="E9" s="1" t="s">
        <v>782</v>
      </c>
    </row>
    <row r="10" spans="1:5" x14ac:dyDescent="0.3">
      <c r="A10" s="1" t="s">
        <v>1</v>
      </c>
      <c r="B10" s="1" t="s">
        <v>262</v>
      </c>
      <c r="C10" s="1" t="s">
        <v>109</v>
      </c>
      <c r="D10" s="10" t="str">
        <f t="shared" si="0"/>
        <v>go.sendcopy("zomt_title")</v>
      </c>
      <c r="E10" s="1" t="s">
        <v>784</v>
      </c>
    </row>
    <row r="11" spans="1:5" x14ac:dyDescent="0.3">
      <c r="A11" s="1" t="s">
        <v>1</v>
      </c>
      <c r="B11" s="1" t="s">
        <v>222</v>
      </c>
      <c r="C11" s="1" t="s">
        <v>109</v>
      </c>
      <c r="D11" s="10"/>
    </row>
    <row r="12" spans="1:5" x14ac:dyDescent="0.3">
      <c r="A12" s="1" t="s">
        <v>1</v>
      </c>
      <c r="B12" s="1" t="s">
        <v>223</v>
      </c>
      <c r="C12" s="1" t="s">
        <v>109</v>
      </c>
      <c r="D12" s="10"/>
    </row>
    <row r="13" spans="1:5" x14ac:dyDescent="0.3">
      <c r="A13" s="1" t="s">
        <v>1</v>
      </c>
      <c r="D13" s="10" t="s">
        <v>790</v>
      </c>
      <c r="E13" s="1" t="s">
        <v>783</v>
      </c>
    </row>
    <row r="14" spans="1:5" x14ac:dyDescent="0.3">
      <c r="A14" s="1" t="s">
        <v>1</v>
      </c>
      <c r="B14" s="1" t="s">
        <v>224</v>
      </c>
      <c r="C14" s="1" t="s">
        <v>109</v>
      </c>
      <c r="D14" s="10"/>
    </row>
    <row r="15" spans="1:5" x14ac:dyDescent="0.3">
      <c r="A15" s="1" t="s">
        <v>1</v>
      </c>
      <c r="B15" s="1" t="s">
        <v>225</v>
      </c>
      <c r="C15" s="1" t="s">
        <v>109</v>
      </c>
      <c r="D15" s="10"/>
    </row>
    <row r="16" spans="1:5" x14ac:dyDescent="0.3">
      <c r="A16" s="1" t="s">
        <v>1</v>
      </c>
      <c r="D16" s="10" t="s">
        <v>791</v>
      </c>
      <c r="E16" s="1" t="s">
        <v>783</v>
      </c>
    </row>
    <row r="18" spans="1:5" x14ac:dyDescent="0.3">
      <c r="A18" s="1" t="s">
        <v>524</v>
      </c>
      <c r="B18" s="34" t="str">
        <f>E18</f>
        <v>Windows General.</v>
      </c>
      <c r="C18" s="34"/>
      <c r="D18" s="34"/>
      <c r="E18" s="25" t="s">
        <v>697</v>
      </c>
    </row>
    <row r="19" spans="1:5" x14ac:dyDescent="0.3">
      <c r="A19" s="1" t="s">
        <v>1</v>
      </c>
      <c r="B19" s="1" t="s">
        <v>101</v>
      </c>
      <c r="C19" s="1" t="s">
        <v>109</v>
      </c>
      <c r="D19" s="10" t="s">
        <v>452</v>
      </c>
    </row>
    <row r="20" spans="1:5" x14ac:dyDescent="0.3">
      <c r="A20" s="1" t="s">
        <v>1</v>
      </c>
      <c r="B20" s="1" t="s">
        <v>360</v>
      </c>
      <c r="C20" s="1" t="s">
        <v>109</v>
      </c>
      <c r="D20" s="10" t="s">
        <v>452</v>
      </c>
    </row>
    <row r="21" spans="1:5" x14ac:dyDescent="0.3">
      <c r="A21" s="1" t="s">
        <v>1</v>
      </c>
      <c r="B21" s="1" t="s">
        <v>466</v>
      </c>
      <c r="C21" s="1" t="s">
        <v>109</v>
      </c>
      <c r="D21" s="10" t="s">
        <v>469</v>
      </c>
    </row>
    <row r="23" spans="1:5" x14ac:dyDescent="0.3">
      <c r="B23" s="34" t="str">
        <f>E23</f>
        <v>Fx</v>
      </c>
      <c r="C23" s="34"/>
      <c r="D23" s="34"/>
      <c r="E23" s="25" t="s">
        <v>690</v>
      </c>
    </row>
    <row r="24" spans="1:5" x14ac:dyDescent="0.3">
      <c r="A24" s="1" t="s">
        <v>1</v>
      </c>
      <c r="B24" s="1" t="s">
        <v>384</v>
      </c>
      <c r="C24" s="1" t="s">
        <v>109</v>
      </c>
      <c r="D24" s="10" t="str">
        <f>CONCATENATE("Send %",E24,"%")</f>
        <v>Send %A_switchero%</v>
      </c>
      <c r="E24" s="1" t="s">
        <v>400</v>
      </c>
    </row>
    <row r="25" spans="1:5" x14ac:dyDescent="0.3">
      <c r="A25" s="1" t="s">
        <v>1</v>
      </c>
      <c r="B25" s="1" t="s">
        <v>323</v>
      </c>
      <c r="C25" s="1" t="s">
        <v>109</v>
      </c>
      <c r="D25" s="10" t="str">
        <f>CONCATENATE("Send %",E25,"%")</f>
        <v>Send %A_everything%</v>
      </c>
      <c r="E25" s="1" t="s">
        <v>401</v>
      </c>
    </row>
    <row r="26" spans="1:5" x14ac:dyDescent="0.3">
      <c r="A26" s="1" t="s">
        <v>1</v>
      </c>
      <c r="B26" s="1" t="s">
        <v>492</v>
      </c>
      <c r="C26" s="1" t="s">
        <v>109</v>
      </c>
      <c r="D26" s="10" t="str">
        <f>CONCATENATE("Send %",E26,"%")</f>
        <v>Send %A_switchero%</v>
      </c>
      <c r="E26" s="1" t="s">
        <v>400</v>
      </c>
    </row>
    <row r="27" spans="1:5" x14ac:dyDescent="0.3">
      <c r="A27" s="1" t="s">
        <v>1</v>
      </c>
      <c r="B27" s="1" t="s">
        <v>493</v>
      </c>
      <c r="C27" s="1" t="s">
        <v>109</v>
      </c>
      <c r="D27" s="10" t="str">
        <f>CONCATENATE("Send %",E27,"%")</f>
        <v>Send %A_everything%</v>
      </c>
      <c r="E27" s="1" t="s">
        <v>401</v>
      </c>
    </row>
    <row r="28" spans="1:5" x14ac:dyDescent="0.3">
      <c r="B28" s="29" t="s">
        <v>330</v>
      </c>
      <c r="C28" s="29"/>
      <c r="D28" s="29"/>
    </row>
    <row r="29" spans="1:5" x14ac:dyDescent="0.3">
      <c r="A29" s="1" t="s">
        <v>1</v>
      </c>
      <c r="B29" s="1" t="s">
        <v>366</v>
      </c>
      <c r="C29" s="1" t="s">
        <v>109</v>
      </c>
      <c r="D29" s="10" t="s">
        <v>324</v>
      </c>
    </row>
    <row r="30" spans="1:5" x14ac:dyDescent="0.3">
      <c r="A30" s="1" t="s">
        <v>1</v>
      </c>
      <c r="B30" s="1" t="s">
        <v>367</v>
      </c>
      <c r="C30" s="1" t="s">
        <v>109</v>
      </c>
      <c r="D30" s="10" t="s">
        <v>320</v>
      </c>
    </row>
    <row r="31" spans="1:5" x14ac:dyDescent="0.3">
      <c r="A31" s="1" t="s">
        <v>1</v>
      </c>
      <c r="B31" s="1" t="s">
        <v>494</v>
      </c>
      <c r="C31" s="1" t="s">
        <v>109</v>
      </c>
      <c r="D31" s="10" t="s">
        <v>496</v>
      </c>
    </row>
    <row r="32" spans="1:5" x14ac:dyDescent="0.3">
      <c r="A32" s="1" t="s">
        <v>1</v>
      </c>
      <c r="B32" s="1" t="s">
        <v>495</v>
      </c>
      <c r="C32" s="1" t="s">
        <v>109</v>
      </c>
      <c r="D32" s="10" t="s">
        <v>497</v>
      </c>
    </row>
    <row r="33" spans="1:5" x14ac:dyDescent="0.3">
      <c r="B33" s="29" t="s">
        <v>464</v>
      </c>
      <c r="C33" s="29"/>
      <c r="D33" s="29"/>
    </row>
    <row r="34" spans="1:5" x14ac:dyDescent="0.3">
      <c r="B34" s="1" t="s">
        <v>454</v>
      </c>
      <c r="C34" s="1" t="s">
        <v>109</v>
      </c>
      <c r="D34" s="10"/>
    </row>
    <row r="35" spans="1:5" x14ac:dyDescent="0.3">
      <c r="B35" s="1" t="s">
        <v>455</v>
      </c>
      <c r="C35" s="1" t="s">
        <v>109</v>
      </c>
      <c r="D35" s="10"/>
    </row>
    <row r="37" spans="1:5" x14ac:dyDescent="0.3">
      <c r="B37" s="34" t="str">
        <f>E37</f>
        <v>Numpad.</v>
      </c>
      <c r="C37" s="34"/>
      <c r="D37" s="34"/>
      <c r="E37" s="25" t="s">
        <v>775</v>
      </c>
    </row>
    <row r="38" spans="1:5" x14ac:dyDescent="0.3">
      <c r="A38" s="1" t="s">
        <v>1</v>
      </c>
      <c r="B38" s="14" t="s">
        <v>293</v>
      </c>
      <c r="C38" s="1" t="s">
        <v>109</v>
      </c>
      <c r="D38" s="10" t="str">
        <f t="shared" ref="D38:D46" si="1">CONCATENATE("go.run(",quote,E38,quoteclose)</f>
        <v>go.run("A_outlook")</v>
      </c>
      <c r="E38" s="1" t="s">
        <v>395</v>
      </c>
    </row>
    <row r="39" spans="1:5" x14ac:dyDescent="0.3">
      <c r="A39" s="1" t="s">
        <v>1</v>
      </c>
      <c r="B39" s="14" t="s">
        <v>294</v>
      </c>
      <c r="C39" s="1" t="s">
        <v>109</v>
      </c>
      <c r="D39" s="10" t="str">
        <f t="shared" si="1"/>
        <v>go.run("A_code")</v>
      </c>
      <c r="E39" s="1" t="s">
        <v>390</v>
      </c>
    </row>
    <row r="40" spans="1:5" x14ac:dyDescent="0.3">
      <c r="A40" s="1" t="s">
        <v>1</v>
      </c>
      <c r="B40" s="14" t="s">
        <v>295</v>
      </c>
      <c r="C40" s="1" t="s">
        <v>109</v>
      </c>
      <c r="D40" s="10" t="str">
        <f t="shared" si="1"/>
        <v>go.run("A_brave")</v>
      </c>
      <c r="E40" s="1" t="s">
        <v>391</v>
      </c>
    </row>
    <row r="41" spans="1:5" x14ac:dyDescent="0.3">
      <c r="A41" s="1" t="s">
        <v>1</v>
      </c>
      <c r="B41" s="1" t="s">
        <v>296</v>
      </c>
      <c r="C41" s="1" t="s">
        <v>109</v>
      </c>
      <c r="D41" s="10" t="str">
        <f t="shared" si="1"/>
        <v>go.run("A_snipaste")</v>
      </c>
      <c r="E41" s="1" t="s">
        <v>398</v>
      </c>
    </row>
    <row r="42" spans="1:5" x14ac:dyDescent="0.3">
      <c r="A42" s="1" t="s">
        <v>1</v>
      </c>
      <c r="B42" s="7" t="s">
        <v>297</v>
      </c>
      <c r="C42" s="1" t="s">
        <v>109</v>
      </c>
      <c r="D42" s="10" t="str">
        <f t="shared" si="1"/>
        <v>go.run("A_wps")</v>
      </c>
      <c r="E42" s="1" t="s">
        <v>763</v>
      </c>
    </row>
    <row r="43" spans="1:5" x14ac:dyDescent="0.3">
      <c r="A43" s="1" t="s">
        <v>1</v>
      </c>
      <c r="B43" s="1" t="s">
        <v>298</v>
      </c>
      <c r="C43" s="1" t="s">
        <v>109</v>
      </c>
      <c r="D43" s="10" t="str">
        <f t="shared" si="1"/>
        <v>go.run("A_notepad2")</v>
      </c>
      <c r="E43" s="1" t="s">
        <v>392</v>
      </c>
    </row>
    <row r="44" spans="1:5" x14ac:dyDescent="0.3">
      <c r="A44" s="1" t="s">
        <v>1</v>
      </c>
      <c r="B44" s="14" t="s">
        <v>299</v>
      </c>
      <c r="C44" s="1" t="s">
        <v>109</v>
      </c>
      <c r="D44" s="10" t="str">
        <f t="shared" si="1"/>
        <v>go.run("A_winword")</v>
      </c>
      <c r="E44" s="1" t="s">
        <v>389</v>
      </c>
    </row>
    <row r="45" spans="1:5" x14ac:dyDescent="0.3">
      <c r="A45" s="1" t="s">
        <v>1</v>
      </c>
      <c r="B45" s="14" t="s">
        <v>300</v>
      </c>
      <c r="C45" s="1" t="s">
        <v>109</v>
      </c>
      <c r="D45" s="10" t="str">
        <f t="shared" si="1"/>
        <v>go.run("A_saplogon")</v>
      </c>
      <c r="E45" s="1" t="s">
        <v>388</v>
      </c>
    </row>
    <row r="46" spans="1:5" x14ac:dyDescent="0.3">
      <c r="A46" s="1" t="s">
        <v>1</v>
      </c>
      <c r="B46" s="14" t="s">
        <v>301</v>
      </c>
      <c r="C46" s="1" t="s">
        <v>109</v>
      </c>
      <c r="D46" s="10" t="str">
        <f t="shared" si="1"/>
        <v>go.run("A_excel")</v>
      </c>
      <c r="E46" s="1" t="s">
        <v>387</v>
      </c>
    </row>
    <row r="47" spans="1:5" x14ac:dyDescent="0.3">
      <c r="A47" s="1" t="s">
        <v>1</v>
      </c>
      <c r="B47" s="7" t="s">
        <v>292</v>
      </c>
      <c r="C47" s="1" t="s">
        <v>109</v>
      </c>
      <c r="D47" s="10" t="str">
        <f>CONCATENATE("go.sap.logon(",quote,E47,quoteclose)</f>
        <v>go.sap.logon("zomt_logon1")</v>
      </c>
      <c r="E47" s="4" t="s">
        <v>779</v>
      </c>
    </row>
    <row r="48" spans="1:5" x14ac:dyDescent="0.3">
      <c r="A48" s="1" t="s">
        <v>1</v>
      </c>
      <c r="B48" s="1" t="s">
        <v>302</v>
      </c>
      <c r="C48" s="1" t="s">
        <v>109</v>
      </c>
      <c r="D48" s="10" t="str">
        <f>CONCATENATE("go.sap.logon(",quote,E48,quoteclose)</f>
        <v>go.sap.logon("zomt_logon2")</v>
      </c>
      <c r="E48" s="4" t="s">
        <v>780</v>
      </c>
    </row>
    <row r="49" spans="1:5" x14ac:dyDescent="0.3">
      <c r="A49" s="1" t="s">
        <v>1</v>
      </c>
      <c r="B49" s="1" t="s">
        <v>788</v>
      </c>
      <c r="C49" s="1" t="s">
        <v>109</v>
      </c>
      <c r="D49" s="10" t="str">
        <f>CONCATENATE("go.sap.logon(",quote,E49,quoteclose)</f>
        <v>go.sap.logon("zomt_logon3")</v>
      </c>
      <c r="E49" s="4" t="s">
        <v>789</v>
      </c>
    </row>
    <row r="50" spans="1:5" x14ac:dyDescent="0.3">
      <c r="A50" s="1" t="s">
        <v>1</v>
      </c>
      <c r="B50" s="1" t="s">
        <v>490</v>
      </c>
      <c r="C50" s="1" t="s">
        <v>109</v>
      </c>
      <c r="D50" s="10" t="str">
        <f>CONCATENATE("go.excel_keyr(",quote,E50,quoteclose)</f>
        <v>go.excel_keyr("zomt_excel")</v>
      </c>
      <c r="E50" s="4" t="s">
        <v>781</v>
      </c>
    </row>
    <row r="51" spans="1:5" x14ac:dyDescent="0.3">
      <c r="E51" s="4"/>
    </row>
    <row r="52" spans="1:5" x14ac:dyDescent="0.3">
      <c r="B52" s="34" t="str">
        <f>E52</f>
        <v>Mouse.</v>
      </c>
      <c r="C52" s="34"/>
      <c r="D52" s="34"/>
      <c r="E52" s="25" t="s">
        <v>698</v>
      </c>
    </row>
    <row r="53" spans="1:5" x14ac:dyDescent="0.3">
      <c r="A53" s="1" t="s">
        <v>1</v>
      </c>
      <c r="B53" s="1" t="s">
        <v>343</v>
      </c>
      <c r="C53" s="1" t="s">
        <v>109</v>
      </c>
      <c r="D53" s="10"/>
    </row>
    <row r="54" spans="1:5" x14ac:dyDescent="0.3">
      <c r="A54" s="1" t="s">
        <v>1</v>
      </c>
      <c r="B54" s="1" t="s">
        <v>346</v>
      </c>
      <c r="C54" s="1" t="s">
        <v>109</v>
      </c>
      <c r="D54" s="10"/>
    </row>
    <row r="55" spans="1:5" x14ac:dyDescent="0.3">
      <c r="A55" s="1" t="s">
        <v>1</v>
      </c>
      <c r="B55"/>
      <c r="D55" s="10" t="s">
        <v>468</v>
      </c>
    </row>
    <row r="56" spans="1:5" x14ac:dyDescent="0.3">
      <c r="A56" s="1" t="s">
        <v>1</v>
      </c>
      <c r="B56" s="1" t="s">
        <v>364</v>
      </c>
      <c r="C56" s="1" t="s">
        <v>109</v>
      </c>
      <c r="D56" s="10"/>
      <c r="E56" s="1" t="s">
        <v>400</v>
      </c>
    </row>
    <row r="57" spans="1:5" x14ac:dyDescent="0.3">
      <c r="A57" s="1" t="s">
        <v>1</v>
      </c>
      <c r="B57" s="1" t="s">
        <v>363</v>
      </c>
      <c r="C57" s="1" t="s">
        <v>109</v>
      </c>
      <c r="D57" s="10"/>
      <c r="E57" s="1" t="s">
        <v>401</v>
      </c>
    </row>
    <row r="58" spans="1:5" x14ac:dyDescent="0.3">
      <c r="A58" s="1" t="s">
        <v>1</v>
      </c>
      <c r="B58" s="1" t="s">
        <v>361</v>
      </c>
      <c r="C58" s="1" t="s">
        <v>109</v>
      </c>
      <c r="D58" s="10"/>
    </row>
    <row r="59" spans="1:5" x14ac:dyDescent="0.3">
      <c r="A59" s="1" t="s">
        <v>1</v>
      </c>
      <c r="B59" s="1" t="s">
        <v>362</v>
      </c>
      <c r="C59" s="1" t="s">
        <v>109</v>
      </c>
      <c r="D59" s="10"/>
    </row>
    <row r="60" spans="1:5" x14ac:dyDescent="0.3">
      <c r="A60" s="1" t="s">
        <v>1</v>
      </c>
      <c r="D60" s="10" t="s">
        <v>467</v>
      </c>
    </row>
    <row r="61" spans="1:5" x14ac:dyDescent="0.3">
      <c r="A61" s="1" t="s">
        <v>1</v>
      </c>
      <c r="B61" s="1" t="s">
        <v>345</v>
      </c>
      <c r="C61" s="1" t="s">
        <v>109</v>
      </c>
      <c r="D61" s="10"/>
    </row>
    <row r="62" spans="1:5" x14ac:dyDescent="0.3">
      <c r="A62" s="1" t="s">
        <v>1</v>
      </c>
      <c r="B62" s="1" t="s">
        <v>344</v>
      </c>
      <c r="C62" s="1" t="s">
        <v>109</v>
      </c>
      <c r="D62" s="10"/>
    </row>
    <row r="63" spans="1:5" x14ac:dyDescent="0.3">
      <c r="A63" s="1" t="s">
        <v>1</v>
      </c>
      <c r="D63" s="10" t="s">
        <v>465</v>
      </c>
    </row>
  </sheetData>
  <dataConsolidate/>
  <mergeCells count="7">
    <mergeCell ref="B2:D2"/>
    <mergeCell ref="B37:D37"/>
    <mergeCell ref="B52:D52"/>
    <mergeCell ref="B18:D18"/>
    <mergeCell ref="B23:D23"/>
    <mergeCell ref="B28:D28"/>
    <mergeCell ref="B33:D33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12757-4CC6-4908-926F-0ECB0431B470}">
  <sheetPr codeName="Hoja10">
    <tabColor theme="4"/>
  </sheetPr>
  <dimension ref="A1:E16"/>
  <sheetViews>
    <sheetView zoomScale="90" zoomScaleNormal="90" workbookViewId="0">
      <selection activeCell="E4" sqref="E4"/>
    </sheetView>
  </sheetViews>
  <sheetFormatPr defaultColWidth="11.44140625" defaultRowHeight="14.4" x14ac:dyDescent="0.3"/>
  <cols>
    <col min="1" max="1" width="5.44140625" style="1" bestFit="1" customWidth="1"/>
    <col min="2" max="2" width="10.88671875" style="1" bestFit="1" customWidth="1"/>
    <col min="3" max="3" width="3.218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3" spans="1:5" x14ac:dyDescent="0.3">
      <c r="A3" s="1" t="s">
        <v>1</v>
      </c>
      <c r="B3" s="27" t="str">
        <f>ifwinactive_exe&amp;E3</f>
        <v>#IfWinActive ahk_exe Switcheroo.exe</v>
      </c>
      <c r="C3" s="27"/>
      <c r="D3" s="27"/>
      <c r="E3" s="24" t="s">
        <v>811</v>
      </c>
    </row>
    <row r="4" spans="1:5" x14ac:dyDescent="0.3">
      <c r="A4" s="1" t="s">
        <v>1</v>
      </c>
      <c r="B4" s="1" t="s">
        <v>272</v>
      </c>
      <c r="C4" s="1" t="s">
        <v>109</v>
      </c>
      <c r="D4" s="1" t="s">
        <v>271</v>
      </c>
    </row>
    <row r="5" spans="1:5" x14ac:dyDescent="0.3">
      <c r="B5" s="1" t="s">
        <v>711</v>
      </c>
      <c r="C5" s="1" t="s">
        <v>109</v>
      </c>
      <c r="D5" s="1" t="s">
        <v>712</v>
      </c>
    </row>
    <row r="6" spans="1:5" x14ac:dyDescent="0.3">
      <c r="A6" s="1" t="s">
        <v>1</v>
      </c>
      <c r="B6" s="1" t="s">
        <v>273</v>
      </c>
      <c r="C6" s="1" t="s">
        <v>109</v>
      </c>
      <c r="D6" s="1" t="s">
        <v>274</v>
      </c>
    </row>
    <row r="7" spans="1:5" x14ac:dyDescent="0.3">
      <c r="B7" s="1" t="s">
        <v>365</v>
      </c>
      <c r="C7" s="1" t="s">
        <v>109</v>
      </c>
      <c r="D7" s="10" t="str">
        <f>CONCATENATE("go.sendk(",quote,E7,quoteclose)</f>
        <v>go.sendk("excel")</v>
      </c>
      <c r="E7" s="1" t="s">
        <v>406</v>
      </c>
    </row>
    <row r="8" spans="1:5" x14ac:dyDescent="0.3">
      <c r="B8" s="1" t="s">
        <v>317</v>
      </c>
      <c r="C8" s="1" t="s">
        <v>109</v>
      </c>
      <c r="D8" s="10" t="str">
        <f>CONCATENATE("go.sendk(",quote,E8,quoteclose)</f>
        <v>go.sendk("saplogon")</v>
      </c>
      <c r="E8" s="1" t="s">
        <v>412</v>
      </c>
    </row>
    <row r="9" spans="1:5" x14ac:dyDescent="0.3">
      <c r="B9" s="1" t="s">
        <v>339</v>
      </c>
      <c r="C9" s="1" t="s">
        <v>109</v>
      </c>
      <c r="D9" s="10" t="str">
        <f>CONCATENATE("go.sendk(",quote,E9,quoteclose)</f>
        <v>go.sendk("winword")</v>
      </c>
      <c r="E9" s="1" t="s">
        <v>405</v>
      </c>
    </row>
    <row r="10" spans="1:5" x14ac:dyDescent="0.3">
      <c r="B10" s="1" t="s">
        <v>484</v>
      </c>
      <c r="C10" s="1" t="s">
        <v>109</v>
      </c>
      <c r="D10" s="10" t="str">
        <f>CONCATENATE("go.sendk(",quote,E10,quoteclose)</f>
        <v>go.sendk("code")</v>
      </c>
      <c r="E10" s="1" t="s">
        <v>410</v>
      </c>
    </row>
    <row r="11" spans="1:5" x14ac:dyDescent="0.3">
      <c r="B11" s="1" t="s">
        <v>321</v>
      </c>
      <c r="C11" s="1" t="s">
        <v>109</v>
      </c>
      <c r="D11" s="10" t="str">
        <f>CONCATENATE("go.sendk(",quote,E11,quoteclose)</f>
        <v>go.sendk("brave")</v>
      </c>
      <c r="E11" s="1" t="s">
        <v>411</v>
      </c>
    </row>
    <row r="12" spans="1:5" x14ac:dyDescent="0.3">
      <c r="D12" s="10"/>
    </row>
    <row r="13" spans="1:5" x14ac:dyDescent="0.3">
      <c r="B13" s="27" t="str">
        <f>ifwinactive_exe&amp;E13</f>
        <v>#IfWinActive ahk_exe Listary.exe</v>
      </c>
      <c r="C13" s="27"/>
      <c r="D13" s="27"/>
      <c r="E13" s="24" t="s">
        <v>691</v>
      </c>
    </row>
    <row r="14" spans="1:5" x14ac:dyDescent="0.3">
      <c r="B14" s="1" t="s">
        <v>365</v>
      </c>
      <c r="C14" s="1" t="s">
        <v>109</v>
      </c>
      <c r="D14" s="10" t="str">
        <f>CONCATENATE("go.sendk(",quote,E14,quoteclose)</f>
        <v>go.sendk("file:")</v>
      </c>
      <c r="E14" s="1" t="s">
        <v>461</v>
      </c>
    </row>
    <row r="15" spans="1:5" x14ac:dyDescent="0.3">
      <c r="B15" s="1" t="s">
        <v>317</v>
      </c>
      <c r="C15" s="1" t="s">
        <v>109</v>
      </c>
      <c r="D15" s="10" t="str">
        <f>CONCATENATE("go.sendk(",quote,E15,quoteclose)</f>
        <v>go.sendk("folder:")</v>
      </c>
      <c r="E15" s="1" t="s">
        <v>462</v>
      </c>
    </row>
    <row r="16" spans="1:5" x14ac:dyDescent="0.3">
      <c r="B16" s="1" t="s">
        <v>339</v>
      </c>
      <c r="C16" s="1" t="s">
        <v>109</v>
      </c>
      <c r="D16" s="10" t="str">
        <f>CONCATENATE("go.sendk(",quote,E16,quoteclose)</f>
        <v>go.sendk("ahk")</v>
      </c>
      <c r="E16" s="1" t="s">
        <v>460</v>
      </c>
    </row>
  </sheetData>
  <dataConsolidate/>
  <mergeCells count="2">
    <mergeCell ref="B3:D3"/>
    <mergeCell ref="B13:D13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D963-5CB6-4175-A263-9C97959379BA}">
  <sheetPr codeName="Hoja9">
    <tabColor rgb="FFC00000"/>
  </sheetPr>
  <dimension ref="A1:E44"/>
  <sheetViews>
    <sheetView zoomScale="90" zoomScaleNormal="90" workbookViewId="0">
      <selection activeCell="B36" sqref="B36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218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2" spans="1:5" x14ac:dyDescent="0.3">
      <c r="A2" s="1" t="s">
        <v>1</v>
      </c>
      <c r="B2" s="35" t="str">
        <f>ifwinactive_exe&amp;E2</f>
        <v>#IfWinActive ahk_exe Outlook.exe</v>
      </c>
      <c r="C2" s="35"/>
      <c r="D2" s="35"/>
      <c r="E2" s="25" t="s">
        <v>693</v>
      </c>
    </row>
    <row r="3" spans="1:5" x14ac:dyDescent="0.3">
      <c r="B3" s="1" t="s">
        <v>244</v>
      </c>
      <c r="C3" s="1" t="s">
        <v>109</v>
      </c>
      <c r="D3" s="1" t="s">
        <v>228</v>
      </c>
    </row>
    <row r="5" spans="1:5" x14ac:dyDescent="0.3">
      <c r="A5" s="1" t="s">
        <v>1</v>
      </c>
      <c r="B5" s="35" t="str">
        <f>ifwinactive_exe&amp;E5</f>
        <v>#IfWinActive ahk_exe Excel.exe</v>
      </c>
      <c r="C5" s="35"/>
      <c r="D5" s="35"/>
      <c r="E5" s="25" t="s">
        <v>694</v>
      </c>
    </row>
    <row r="6" spans="1:5" x14ac:dyDescent="0.3">
      <c r="B6" s="1" t="s">
        <v>275</v>
      </c>
      <c r="C6" s="1" t="s">
        <v>109</v>
      </c>
      <c r="D6" s="1" t="s">
        <v>229</v>
      </c>
    </row>
    <row r="7" spans="1:5" x14ac:dyDescent="0.3">
      <c r="B7" s="1" t="s">
        <v>269</v>
      </c>
      <c r="C7" s="1" t="s">
        <v>109</v>
      </c>
      <c r="D7" s="1" t="s">
        <v>230</v>
      </c>
    </row>
    <row r="8" spans="1:5" x14ac:dyDescent="0.3">
      <c r="A8" s="1" t="s">
        <v>1</v>
      </c>
      <c r="B8" s="1" t="s">
        <v>241</v>
      </c>
      <c r="C8" s="1" t="s">
        <v>109</v>
      </c>
      <c r="D8" s="1" t="s">
        <v>242</v>
      </c>
    </row>
    <row r="9" spans="1:5" x14ac:dyDescent="0.3">
      <c r="B9" s="1" t="s">
        <v>317</v>
      </c>
      <c r="C9" s="1" t="s">
        <v>109</v>
      </c>
      <c r="D9" s="1" t="s">
        <v>320</v>
      </c>
    </row>
    <row r="11" spans="1:5" x14ac:dyDescent="0.3">
      <c r="A11" s="1" t="s">
        <v>1</v>
      </c>
      <c r="B11" s="35" t="str">
        <f>ifwinactive_exe&amp;E11</f>
        <v>#IfWinActive ahk_exe Winword.exe</v>
      </c>
      <c r="C11" s="35"/>
      <c r="D11" s="35"/>
      <c r="E11" s="25" t="s">
        <v>695</v>
      </c>
    </row>
    <row r="12" spans="1:5" x14ac:dyDescent="0.3">
      <c r="A12" s="1" t="s">
        <v>1</v>
      </c>
      <c r="B12" s="1" t="s">
        <v>103</v>
      </c>
      <c r="C12" s="1" t="s">
        <v>109</v>
      </c>
      <c r="D12" s="1" t="s">
        <v>368</v>
      </c>
    </row>
    <row r="13" spans="1:5" x14ac:dyDescent="0.3">
      <c r="A13" s="1" t="s">
        <v>1</v>
      </c>
      <c r="B13" s="1" t="s">
        <v>104</v>
      </c>
      <c r="C13" s="1" t="s">
        <v>109</v>
      </c>
      <c r="D13" s="1" t="s">
        <v>369</v>
      </c>
    </row>
    <row r="14" spans="1:5" x14ac:dyDescent="0.3">
      <c r="A14" s="1" t="s">
        <v>1</v>
      </c>
      <c r="B14" s="1" t="s">
        <v>105</v>
      </c>
      <c r="C14" s="1" t="s">
        <v>109</v>
      </c>
      <c r="D14" s="1" t="s">
        <v>370</v>
      </c>
    </row>
    <row r="16" spans="1:5" x14ac:dyDescent="0.3">
      <c r="A16" s="1" t="s">
        <v>1</v>
      </c>
      <c r="B16" s="35" t="str">
        <f>ifwinactive_title&amp;E16</f>
        <v>#IfWinActive Visual Basic for Applications -</v>
      </c>
      <c r="C16" s="35"/>
      <c r="D16" s="35"/>
      <c r="E16" s="25" t="s">
        <v>729</v>
      </c>
    </row>
    <row r="17" spans="1:5" x14ac:dyDescent="0.3">
      <c r="A17" s="1" t="s">
        <v>1</v>
      </c>
      <c r="B17" s="1" t="s">
        <v>718</v>
      </c>
      <c r="C17" s="1" t="s">
        <v>109</v>
      </c>
      <c r="D17" s="1" t="s">
        <v>717</v>
      </c>
    </row>
    <row r="18" spans="1:5" x14ac:dyDescent="0.3">
      <c r="A18" s="1" t="s">
        <v>1</v>
      </c>
      <c r="B18" s="1" t="s">
        <v>339</v>
      </c>
      <c r="C18" s="1" t="s">
        <v>109</v>
      </c>
      <c r="D18" s="1" t="s">
        <v>719</v>
      </c>
    </row>
    <row r="20" spans="1:5" x14ac:dyDescent="0.3">
      <c r="A20" s="1" t="s">
        <v>1</v>
      </c>
      <c r="B20" s="37" t="str">
        <f>ifwinactive_exe&amp;E20</f>
        <v>#IfWinActive ahk_exe Bcompare.exe</v>
      </c>
      <c r="C20" s="37"/>
      <c r="D20" s="37"/>
      <c r="E20" s="25" t="s">
        <v>701</v>
      </c>
    </row>
    <row r="21" spans="1:5" x14ac:dyDescent="0.3">
      <c r="A21" s="1" t="s">
        <v>1</v>
      </c>
      <c r="B21" s="1" t="s">
        <v>102</v>
      </c>
      <c r="C21" s="1" t="s">
        <v>109</v>
      </c>
      <c r="D21" s="1" t="s">
        <v>227</v>
      </c>
    </row>
    <row r="23" spans="1:5" x14ac:dyDescent="0.3">
      <c r="A23" s="1" t="s">
        <v>1</v>
      </c>
      <c r="B23" s="36" t="str">
        <f>ifwinactive_exe&amp;E23</f>
        <v>#IfWinActive ahk_exe Copyq.exe</v>
      </c>
      <c r="C23" s="36"/>
      <c r="D23" s="36"/>
      <c r="E23" s="25" t="s">
        <v>700</v>
      </c>
    </row>
    <row r="24" spans="1:5" x14ac:dyDescent="0.3">
      <c r="A24" s="1" t="s">
        <v>1</v>
      </c>
      <c r="B24" s="1" t="s">
        <v>337</v>
      </c>
      <c r="C24" s="1" t="s">
        <v>109</v>
      </c>
      <c r="D24" s="1" t="s">
        <v>338</v>
      </c>
    </row>
    <row r="26" spans="1:5" x14ac:dyDescent="0.3">
      <c r="A26" s="1" t="s">
        <v>1</v>
      </c>
      <c r="B26" s="36" t="str">
        <f>ifwinactive_exe&amp;E26</f>
        <v>#IfWinActive ahk_exe Snipaste.exe</v>
      </c>
      <c r="C26" s="36"/>
      <c r="D26" s="36"/>
      <c r="E26" s="25" t="s">
        <v>702</v>
      </c>
    </row>
    <row r="27" spans="1:5" x14ac:dyDescent="0.3">
      <c r="A27" s="1" t="s">
        <v>1</v>
      </c>
      <c r="B27" s="1" t="s">
        <v>246</v>
      </c>
      <c r="C27" s="1" t="s">
        <v>109</v>
      </c>
      <c r="D27" s="1" t="s">
        <v>470</v>
      </c>
    </row>
    <row r="28" spans="1:5" x14ac:dyDescent="0.3">
      <c r="A28" s="1" t="s">
        <v>1</v>
      </c>
      <c r="B28" s="1" t="s">
        <v>488</v>
      </c>
      <c r="C28" s="1" t="s">
        <v>109</v>
      </c>
    </row>
    <row r="29" spans="1:5" x14ac:dyDescent="0.3">
      <c r="A29" s="1" t="s">
        <v>1</v>
      </c>
      <c r="D29" s="1" t="s">
        <v>470</v>
      </c>
    </row>
    <row r="30" spans="1:5" x14ac:dyDescent="0.3">
      <c r="A30" s="1" t="s">
        <v>1</v>
      </c>
      <c r="D30" s="10" t="str">
        <f>CONCATENATE("go.run_cmd(",quote,E30,quoteclose)</f>
        <v>go.run_cmd("D:\OneDrive\Au\Apps\Python\crop.py")</v>
      </c>
      <c r="E30" s="1" t="s">
        <v>792</v>
      </c>
    </row>
    <row r="31" spans="1:5" x14ac:dyDescent="0.3">
      <c r="D31"/>
    </row>
    <row r="32" spans="1:5" x14ac:dyDescent="0.3">
      <c r="A32" s="1" t="s">
        <v>1</v>
      </c>
      <c r="B32" s="28" t="str">
        <f>ifwinactive_exe&amp;E32</f>
        <v>#IfWinActive ahk_exe Code.exe</v>
      </c>
      <c r="C32" s="28"/>
      <c r="D32" s="28"/>
      <c r="E32" s="25" t="s">
        <v>703</v>
      </c>
    </row>
    <row r="33" spans="1:5" x14ac:dyDescent="0.3">
      <c r="A33" s="1" t="s">
        <v>1</v>
      </c>
      <c r="B33" s="1" t="s">
        <v>321</v>
      </c>
      <c r="C33" s="1" t="s">
        <v>109</v>
      </c>
      <c r="D33" s="1" t="s">
        <v>793</v>
      </c>
    </row>
    <row r="34" spans="1:5" x14ac:dyDescent="0.3">
      <c r="A34" s="1" t="s">
        <v>1</v>
      </c>
      <c r="B34" s="1" t="s">
        <v>484</v>
      </c>
      <c r="C34" s="1" t="s">
        <v>109</v>
      </c>
      <c r="D34" s="1" t="s">
        <v>453</v>
      </c>
    </row>
    <row r="35" spans="1:5" x14ac:dyDescent="0.3">
      <c r="A35" s="1" t="s">
        <v>1</v>
      </c>
      <c r="B35" s="1" t="s">
        <v>339</v>
      </c>
      <c r="C35" s="1" t="s">
        <v>109</v>
      </c>
      <c r="D35" s="1" t="s">
        <v>812</v>
      </c>
    </row>
    <row r="37" spans="1:5" x14ac:dyDescent="0.3">
      <c r="A37" s="1" t="s">
        <v>1</v>
      </c>
      <c r="B37" s="28" t="str">
        <f>ifwinactive_title&amp;E37</f>
        <v>#IfWinActive Automate_</v>
      </c>
      <c r="C37" s="28"/>
      <c r="D37" s="28"/>
      <c r="E37" s="25" t="s">
        <v>705</v>
      </c>
    </row>
    <row r="38" spans="1:5" x14ac:dyDescent="0.3">
      <c r="A38" s="1" t="s">
        <v>1</v>
      </c>
      <c r="B38" s="1" t="s">
        <v>352</v>
      </c>
      <c r="C38" s="1" t="s">
        <v>109</v>
      </c>
      <c r="D38" s="1" t="s">
        <v>353</v>
      </c>
    </row>
    <row r="40" spans="1:5" x14ac:dyDescent="0.3">
      <c r="A40" s="1" t="s">
        <v>1</v>
      </c>
      <c r="B40" s="28" t="str">
        <f>ifwinactive_exe&amp;E40</f>
        <v>#IfWinActive ahk_exe Notepad++.exe</v>
      </c>
      <c r="C40" s="28"/>
      <c r="D40" s="28"/>
      <c r="E40" s="25" t="s">
        <v>704</v>
      </c>
    </row>
    <row r="41" spans="1:5" x14ac:dyDescent="0.3">
      <c r="A41" s="1" t="s">
        <v>1</v>
      </c>
      <c r="B41" s="1" t="s">
        <v>304</v>
      </c>
      <c r="C41" s="1" t="s">
        <v>109</v>
      </c>
      <c r="D41" s="1" t="s">
        <v>230</v>
      </c>
    </row>
    <row r="43" spans="1:5" x14ac:dyDescent="0.3">
      <c r="A43" s="1" t="s">
        <v>1</v>
      </c>
      <c r="B43" s="28" t="str">
        <f>ifwinactive_exe&amp;E43</f>
        <v>#IfWinActive ahk_exe wps.exe</v>
      </c>
      <c r="C43" s="28"/>
      <c r="D43" s="28"/>
      <c r="E43" s="25" t="s">
        <v>795</v>
      </c>
    </row>
    <row r="44" spans="1:5" x14ac:dyDescent="0.3">
      <c r="A44" s="1" t="s">
        <v>1</v>
      </c>
      <c r="B44" s="1" t="s">
        <v>797</v>
      </c>
      <c r="C44" s="1" t="s">
        <v>109</v>
      </c>
      <c r="D44" s="1" t="s">
        <v>794</v>
      </c>
    </row>
  </sheetData>
  <dataConsolidate/>
  <mergeCells count="11">
    <mergeCell ref="B43:D43"/>
    <mergeCell ref="B2:D2"/>
    <mergeCell ref="B11:D11"/>
    <mergeCell ref="B5:D5"/>
    <mergeCell ref="B26:D26"/>
    <mergeCell ref="B20:D20"/>
    <mergeCell ref="B40:D40"/>
    <mergeCell ref="B16:D16"/>
    <mergeCell ref="B32:D32"/>
    <mergeCell ref="B37:D37"/>
    <mergeCell ref="B23:D23"/>
  </mergeCells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31B22-AFC3-41ED-96D0-CB600EFC29CC}">
  <sheetPr codeName="Hoja11">
    <tabColor rgb="FFC00000"/>
  </sheetPr>
  <dimension ref="A1:E207"/>
  <sheetViews>
    <sheetView tabSelected="1" topLeftCell="A31" zoomScale="90" zoomScaleNormal="90" workbookViewId="0">
      <selection activeCell="B53" sqref="B53"/>
    </sheetView>
  </sheetViews>
  <sheetFormatPr defaultColWidth="11.44140625" defaultRowHeight="14.4" x14ac:dyDescent="0.3"/>
  <cols>
    <col min="1" max="1" width="5.44140625" style="1" bestFit="1" customWidth="1"/>
    <col min="2" max="2" width="16.44140625" style="1" bestFit="1" customWidth="1"/>
    <col min="3" max="3" width="3.21875" style="1" bestFit="1" customWidth="1"/>
    <col min="4" max="4" width="53.77734375" style="1" bestFit="1" customWidth="1"/>
    <col min="5" max="5" width="15.44140625" style="1" bestFit="1" customWidth="1"/>
    <col min="6" max="16384" width="11.44140625" style="1"/>
  </cols>
  <sheetData>
    <row r="1" spans="1:5" x14ac:dyDescent="0.3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2" spans="1:5" x14ac:dyDescent="0.3">
      <c r="A2" s="1" t="s">
        <v>1</v>
      </c>
      <c r="B2" s="34" t="str">
        <f>ifwinactive_group&amp;E2</f>
        <v>#IfWinActive ahk_group Gr_sap_debug</v>
      </c>
      <c r="C2" s="34"/>
      <c r="D2" s="34"/>
      <c r="E2" s="25" t="s">
        <v>699</v>
      </c>
    </row>
    <row r="3" spans="1:5" x14ac:dyDescent="0.3">
      <c r="A3" s="1" t="s">
        <v>1</v>
      </c>
      <c r="B3" s="1" t="s">
        <v>110</v>
      </c>
      <c r="C3" s="1" t="s">
        <v>109</v>
      </c>
      <c r="D3" s="1" t="s">
        <v>371</v>
      </c>
    </row>
    <row r="4" spans="1:5" x14ac:dyDescent="0.3">
      <c r="A4" s="1" t="s">
        <v>1</v>
      </c>
      <c r="B4" s="1" t="s">
        <v>328</v>
      </c>
      <c r="C4" s="1" t="s">
        <v>109</v>
      </c>
      <c r="D4" s="1" t="s">
        <v>372</v>
      </c>
    </row>
    <row r="5" spans="1:5" x14ac:dyDescent="0.3">
      <c r="A5" s="1" t="s">
        <v>1</v>
      </c>
      <c r="B5" s="1" t="s">
        <v>317</v>
      </c>
      <c r="C5" s="1" t="s">
        <v>109</v>
      </c>
      <c r="D5" s="1" t="s">
        <v>320</v>
      </c>
    </row>
    <row r="6" spans="1:5" x14ac:dyDescent="0.3">
      <c r="A6" s="1" t="s">
        <v>1</v>
      </c>
      <c r="B6" s="1" t="s">
        <v>321</v>
      </c>
      <c r="C6" s="1" t="s">
        <v>109</v>
      </c>
      <c r="D6" s="1" t="s">
        <v>322</v>
      </c>
    </row>
    <row r="8" spans="1:5" x14ac:dyDescent="0.3">
      <c r="A8" s="1" t="s">
        <v>1</v>
      </c>
      <c r="B8" s="34" t="str">
        <f>ifwinactive_class&amp;E8</f>
        <v>#IfWinActive ahk_class SAP_FRONTEND_SESSION</v>
      </c>
      <c r="C8" s="34"/>
      <c r="D8" s="34"/>
      <c r="E8" s="25" t="s">
        <v>696</v>
      </c>
    </row>
    <row r="9" spans="1:5" x14ac:dyDescent="0.3">
      <c r="A9" s="1" t="s">
        <v>1</v>
      </c>
      <c r="B9" s="1" t="s">
        <v>335</v>
      </c>
      <c r="C9" s="1" t="s">
        <v>109</v>
      </c>
      <c r="D9" s="1" t="s">
        <v>336</v>
      </c>
    </row>
    <row r="10" spans="1:5" x14ac:dyDescent="0.3">
      <c r="A10" s="13"/>
      <c r="B10" s="1" t="s">
        <v>327</v>
      </c>
      <c r="C10" s="1" t="s">
        <v>109</v>
      </c>
      <c r="D10" s="1" t="s">
        <v>326</v>
      </c>
    </row>
    <row r="11" spans="1:5" x14ac:dyDescent="0.3">
      <c r="A11" s="1" t="s">
        <v>1</v>
      </c>
      <c r="B11" s="1" t="s">
        <v>525</v>
      </c>
      <c r="C11" s="1" t="s">
        <v>109</v>
      </c>
      <c r="D11" s="1" t="s">
        <v>527</v>
      </c>
    </row>
    <row r="12" spans="1:5" x14ac:dyDescent="0.3">
      <c r="A12" s="1" t="s">
        <v>1</v>
      </c>
      <c r="B12" s="1" t="s">
        <v>111</v>
      </c>
      <c r="C12" s="1" t="s">
        <v>109</v>
      </c>
      <c r="D12" s="1" t="s">
        <v>116</v>
      </c>
    </row>
    <row r="13" spans="1:5" x14ac:dyDescent="0.3">
      <c r="A13" s="1" t="s">
        <v>1</v>
      </c>
      <c r="B13" s="1" t="s">
        <v>484</v>
      </c>
      <c r="C13" s="1" t="s">
        <v>109</v>
      </c>
      <c r="D13" s="1" t="s">
        <v>787</v>
      </c>
    </row>
    <row r="14" spans="1:5" x14ac:dyDescent="0.3">
      <c r="A14" s="1" t="s">
        <v>1</v>
      </c>
      <c r="B14" s="1" t="s">
        <v>321</v>
      </c>
      <c r="C14" s="1" t="s">
        <v>109</v>
      </c>
      <c r="D14" s="1" t="s">
        <v>796</v>
      </c>
    </row>
    <row r="16" spans="1:5" x14ac:dyDescent="0.3">
      <c r="A16" s="13"/>
      <c r="B16" s="19" t="s">
        <v>315</v>
      </c>
      <c r="C16" s="19"/>
      <c r="D16" s="19"/>
    </row>
    <row r="17" spans="1:4" x14ac:dyDescent="0.3">
      <c r="A17" s="1" t="s">
        <v>1</v>
      </c>
      <c r="B17" s="1" t="s">
        <v>270</v>
      </c>
      <c r="C17" s="1" t="s">
        <v>109</v>
      </c>
      <c r="D17" s="1" t="s">
        <v>528</v>
      </c>
    </row>
    <row r="18" spans="1:4" x14ac:dyDescent="0.3">
      <c r="A18" s="1" t="s">
        <v>1</v>
      </c>
      <c r="B18" s="1" t="s">
        <v>764</v>
      </c>
      <c r="C18" s="1" t="s">
        <v>109</v>
      </c>
      <c r="D18" s="1" t="s">
        <v>529</v>
      </c>
    </row>
    <row r="19" spans="1:4" x14ac:dyDescent="0.3">
      <c r="A19" s="1" t="s">
        <v>1</v>
      </c>
      <c r="B19" s="1" t="s">
        <v>765</v>
      </c>
      <c r="C19" s="1" t="s">
        <v>109</v>
      </c>
    </row>
    <row r="20" spans="1:4" x14ac:dyDescent="0.3">
      <c r="A20" s="1" t="s">
        <v>1</v>
      </c>
      <c r="D20" s="1" t="s">
        <v>529</v>
      </c>
    </row>
    <row r="21" spans="1:4" x14ac:dyDescent="0.3">
      <c r="A21" s="1" t="s">
        <v>1</v>
      </c>
      <c r="D21" s="1" t="s">
        <v>350</v>
      </c>
    </row>
    <row r="22" spans="1:4" x14ac:dyDescent="0.3">
      <c r="A22" s="1" t="s">
        <v>1</v>
      </c>
      <c r="D22" s="1" t="s">
        <v>351</v>
      </c>
    </row>
    <row r="23" spans="1:4" x14ac:dyDescent="0.3">
      <c r="A23" s="1" t="s">
        <v>1</v>
      </c>
      <c r="B23" s="1" t="s">
        <v>114</v>
      </c>
      <c r="C23" s="1" t="s">
        <v>109</v>
      </c>
      <c r="D23" s="1" t="s">
        <v>750</v>
      </c>
    </row>
    <row r="24" spans="1:4" x14ac:dyDescent="0.3">
      <c r="A24" s="1" t="s">
        <v>1</v>
      </c>
      <c r="B24" s="1" t="s">
        <v>276</v>
      </c>
      <c r="C24" s="1" t="s">
        <v>109</v>
      </c>
      <c r="D24" s="1" t="s">
        <v>501</v>
      </c>
    </row>
    <row r="25" spans="1:4" x14ac:dyDescent="0.3">
      <c r="A25" s="1" t="s">
        <v>1</v>
      </c>
      <c r="B25" s="1" t="s">
        <v>108</v>
      </c>
      <c r="C25" s="1" t="s">
        <v>109</v>
      </c>
      <c r="D25" s="1" t="s">
        <v>375</v>
      </c>
    </row>
    <row r="26" spans="1:4" x14ac:dyDescent="0.3">
      <c r="A26" s="1" t="s">
        <v>1</v>
      </c>
      <c r="B26" s="1" t="s">
        <v>106</v>
      </c>
      <c r="C26" s="1" t="s">
        <v>109</v>
      </c>
      <c r="D26" s="1" t="s">
        <v>231</v>
      </c>
    </row>
    <row r="27" spans="1:4" x14ac:dyDescent="0.3">
      <c r="A27" s="1" t="s">
        <v>1</v>
      </c>
      <c r="B27" s="1" t="s">
        <v>107</v>
      </c>
      <c r="C27" s="1" t="s">
        <v>109</v>
      </c>
      <c r="D27" s="1" t="s">
        <v>232</v>
      </c>
    </row>
    <row r="28" spans="1:4" x14ac:dyDescent="0.3">
      <c r="B28" s="1" t="s">
        <v>112</v>
      </c>
      <c r="C28" s="1" t="s">
        <v>109</v>
      </c>
      <c r="D28" s="1" t="s">
        <v>115</v>
      </c>
    </row>
    <row r="29" spans="1:4" x14ac:dyDescent="0.3">
      <c r="B29" s="1" t="s">
        <v>113</v>
      </c>
      <c r="C29" s="1" t="s">
        <v>109</v>
      </c>
      <c r="D29" s="1" t="s">
        <v>115</v>
      </c>
    </row>
    <row r="30" spans="1:4" x14ac:dyDescent="0.3">
      <c r="B30" s="17"/>
    </row>
    <row r="31" spans="1:4" x14ac:dyDescent="0.3">
      <c r="D31" s="17"/>
    </row>
    <row r="32" spans="1:4" x14ac:dyDescent="0.3">
      <c r="B32" s="40" t="s">
        <v>310</v>
      </c>
      <c r="C32" s="40"/>
      <c r="D32" s="40"/>
    </row>
    <row r="33" spans="1:4" x14ac:dyDescent="0.3">
      <c r="A33" s="1" t="s">
        <v>1</v>
      </c>
      <c r="B33" s="4" t="s">
        <v>220</v>
      </c>
      <c r="C33" s="1" t="s">
        <v>109</v>
      </c>
      <c r="D33" s="4" t="s">
        <v>798</v>
      </c>
    </row>
    <row r="34" spans="1:4" x14ac:dyDescent="0.3">
      <c r="B34" s="4" t="s">
        <v>221</v>
      </c>
      <c r="C34" s="1" t="s">
        <v>109</v>
      </c>
    </row>
    <row r="35" spans="1:4" x14ac:dyDescent="0.3">
      <c r="B35" s="4" t="s">
        <v>233</v>
      </c>
      <c r="C35" s="1" t="s">
        <v>109</v>
      </c>
    </row>
    <row r="36" spans="1:4" x14ac:dyDescent="0.3">
      <c r="B36" s="4"/>
      <c r="D36" s="4" t="s">
        <v>713</v>
      </c>
    </row>
    <row r="38" spans="1:4" s="5" customFormat="1" x14ac:dyDescent="0.3">
      <c r="A38" s="1"/>
      <c r="B38" s="40" t="s">
        <v>87</v>
      </c>
      <c r="C38" s="40"/>
      <c r="D38" s="40"/>
    </row>
    <row r="39" spans="1:4" s="4" customFormat="1" x14ac:dyDescent="0.3">
      <c r="A39" s="4" t="s">
        <v>1</v>
      </c>
      <c r="B39" s="6" t="s">
        <v>774</v>
      </c>
      <c r="C39" s="4" t="s">
        <v>109</v>
      </c>
      <c r="D39" s="1" t="s">
        <v>530</v>
      </c>
    </row>
    <row r="40" spans="1:4" s="4" customFormat="1" x14ac:dyDescent="0.3">
      <c r="A40" s="4" t="s">
        <v>1</v>
      </c>
      <c r="B40" s="6" t="s">
        <v>707</v>
      </c>
      <c r="C40" s="4" t="s">
        <v>109</v>
      </c>
      <c r="D40" s="1" t="s">
        <v>531</v>
      </c>
    </row>
    <row r="41" spans="1:4" s="4" customFormat="1" x14ac:dyDescent="0.3">
      <c r="A41" s="4" t="s">
        <v>1</v>
      </c>
      <c r="B41" s="6" t="s">
        <v>708</v>
      </c>
      <c r="C41" s="4" t="s">
        <v>109</v>
      </c>
      <c r="D41" s="1" t="s">
        <v>532</v>
      </c>
    </row>
    <row r="42" spans="1:4" s="4" customFormat="1" x14ac:dyDescent="0.3">
      <c r="A42" s="4" t="s">
        <v>1</v>
      </c>
      <c r="B42" s="6" t="s">
        <v>709</v>
      </c>
      <c r="C42" s="4" t="s">
        <v>109</v>
      </c>
      <c r="D42" s="1" t="s">
        <v>533</v>
      </c>
    </row>
    <row r="43" spans="1:4" s="4" customFormat="1" x14ac:dyDescent="0.3">
      <c r="A43" s="4" t="s">
        <v>1</v>
      </c>
      <c r="B43" s="6" t="s">
        <v>103</v>
      </c>
      <c r="C43" s="4" t="s">
        <v>109</v>
      </c>
      <c r="D43" s="1" t="s">
        <v>534</v>
      </c>
    </row>
    <row r="44" spans="1:4" s="4" customFormat="1" x14ac:dyDescent="0.3">
      <c r="A44" s="4" t="s">
        <v>1</v>
      </c>
      <c r="B44" s="6" t="s">
        <v>104</v>
      </c>
      <c r="C44" s="4" t="s">
        <v>109</v>
      </c>
      <c r="D44" s="1" t="s">
        <v>535</v>
      </c>
    </row>
    <row r="45" spans="1:4" s="4" customFormat="1" x14ac:dyDescent="0.3">
      <c r="A45" s="4" t="s">
        <v>1</v>
      </c>
      <c r="B45" s="6" t="s">
        <v>105</v>
      </c>
      <c r="C45" s="4" t="s">
        <v>109</v>
      </c>
      <c r="D45" s="1" t="s">
        <v>536</v>
      </c>
    </row>
    <row r="46" spans="1:4" s="4" customFormat="1" x14ac:dyDescent="0.3">
      <c r="B46" s="6" t="s">
        <v>710</v>
      </c>
      <c r="C46" s="4" t="s">
        <v>109</v>
      </c>
      <c r="D46" s="1" t="s">
        <v>537</v>
      </c>
    </row>
    <row r="47" spans="1:4" s="4" customFormat="1" x14ac:dyDescent="0.3">
      <c r="B47" s="6" t="s">
        <v>255</v>
      </c>
      <c r="C47" s="4" t="s">
        <v>109</v>
      </c>
      <c r="D47" s="1" t="s">
        <v>538</v>
      </c>
    </row>
    <row r="48" spans="1:4" s="4" customFormat="1" x14ac:dyDescent="0.3">
      <c r="B48" s="6" t="s">
        <v>256</v>
      </c>
      <c r="C48" s="4" t="s">
        <v>109</v>
      </c>
      <c r="D48" s="1" t="s">
        <v>539</v>
      </c>
    </row>
    <row r="49" spans="1:4" s="4" customFormat="1" x14ac:dyDescent="0.3">
      <c r="B49" s="6" t="s">
        <v>257</v>
      </c>
      <c r="C49" s="4" t="s">
        <v>109</v>
      </c>
      <c r="D49" s="1" t="s">
        <v>540</v>
      </c>
    </row>
    <row r="50" spans="1:4" s="4" customFormat="1" x14ac:dyDescent="0.3">
      <c r="B50" s="6" t="s">
        <v>258</v>
      </c>
      <c r="C50" s="4" t="s">
        <v>109</v>
      </c>
      <c r="D50" s="1" t="s">
        <v>541</v>
      </c>
    </row>
    <row r="51" spans="1:4" s="4" customFormat="1" x14ac:dyDescent="0.3">
      <c r="B51" s="6" t="s">
        <v>259</v>
      </c>
      <c r="C51" s="4" t="s">
        <v>109</v>
      </c>
      <c r="D51" s="1" t="s">
        <v>542</v>
      </c>
    </row>
    <row r="52" spans="1:4" s="4" customFormat="1" x14ac:dyDescent="0.3">
      <c r="B52" s="6" t="s">
        <v>260</v>
      </c>
      <c r="C52" s="4" t="s">
        <v>109</v>
      </c>
      <c r="D52" s="1" t="s">
        <v>543</v>
      </c>
    </row>
    <row r="53" spans="1:4" s="4" customFormat="1" x14ac:dyDescent="0.3">
      <c r="B53" s="6" t="s">
        <v>261</v>
      </c>
      <c r="C53" s="4" t="s">
        <v>109</v>
      </c>
      <c r="D53" s="1" t="s">
        <v>544</v>
      </c>
    </row>
    <row r="54" spans="1:4" s="4" customFormat="1" x14ac:dyDescent="0.3">
      <c r="B54" s="4" t="s">
        <v>766</v>
      </c>
      <c r="C54" s="4" t="s">
        <v>109</v>
      </c>
      <c r="D54" s="1" t="s">
        <v>530</v>
      </c>
    </row>
    <row r="55" spans="1:4" s="4" customFormat="1" x14ac:dyDescent="0.3">
      <c r="B55" s="4" t="s">
        <v>767</v>
      </c>
      <c r="C55" s="4" t="s">
        <v>109</v>
      </c>
      <c r="D55" s="1" t="s">
        <v>531</v>
      </c>
    </row>
    <row r="56" spans="1:4" s="4" customFormat="1" x14ac:dyDescent="0.3">
      <c r="B56" s="4" t="s">
        <v>768</v>
      </c>
      <c r="C56" s="4" t="s">
        <v>109</v>
      </c>
      <c r="D56" s="1" t="s">
        <v>532</v>
      </c>
    </row>
    <row r="57" spans="1:4" s="4" customFormat="1" x14ac:dyDescent="0.3">
      <c r="B57" s="4" t="s">
        <v>769</v>
      </c>
      <c r="C57" s="4" t="s">
        <v>109</v>
      </c>
      <c r="D57" s="1" t="s">
        <v>533</v>
      </c>
    </row>
    <row r="58" spans="1:4" s="4" customFormat="1" x14ac:dyDescent="0.3">
      <c r="B58" s="4" t="s">
        <v>770</v>
      </c>
      <c r="C58" s="4" t="s">
        <v>109</v>
      </c>
      <c r="D58" s="1" t="s">
        <v>534</v>
      </c>
    </row>
    <row r="59" spans="1:4" s="4" customFormat="1" x14ac:dyDescent="0.3">
      <c r="B59" s="4" t="s">
        <v>771</v>
      </c>
      <c r="C59" s="4" t="s">
        <v>109</v>
      </c>
      <c r="D59" s="1" t="s">
        <v>535</v>
      </c>
    </row>
    <row r="60" spans="1:4" s="4" customFormat="1" x14ac:dyDescent="0.3">
      <c r="B60" s="4" t="s">
        <v>772</v>
      </c>
      <c r="C60" s="4" t="s">
        <v>109</v>
      </c>
      <c r="D60" s="1" t="s">
        <v>536</v>
      </c>
    </row>
    <row r="61" spans="1:4" s="4" customFormat="1" x14ac:dyDescent="0.3">
      <c r="B61" s="4" t="s">
        <v>773</v>
      </c>
      <c r="C61" s="4" t="s">
        <v>109</v>
      </c>
      <c r="D61" s="1" t="s">
        <v>537</v>
      </c>
    </row>
    <row r="62" spans="1:4" s="4" customFormat="1" x14ac:dyDescent="0.3">
      <c r="A62" s="4" t="s">
        <v>1</v>
      </c>
      <c r="B62" s="4" t="s">
        <v>289</v>
      </c>
      <c r="C62" s="4" t="s">
        <v>109</v>
      </c>
      <c r="D62" s="1"/>
    </row>
    <row r="63" spans="1:4" s="4" customFormat="1" x14ac:dyDescent="0.3">
      <c r="B63" s="38" t="s">
        <v>95</v>
      </c>
      <c r="C63" s="38" t="s">
        <v>109</v>
      </c>
      <c r="D63" s="38"/>
    </row>
    <row r="64" spans="1:4" s="4" customFormat="1" x14ac:dyDescent="0.3">
      <c r="A64" s="4" t="s">
        <v>1</v>
      </c>
      <c r="B64" s="4" t="s">
        <v>253</v>
      </c>
      <c r="C64" s="9" t="s">
        <v>109</v>
      </c>
      <c r="D64" s="8"/>
    </row>
    <row r="65" spans="1:4" s="4" customFormat="1" x14ac:dyDescent="0.3">
      <c r="A65" s="4" t="s">
        <v>1</v>
      </c>
      <c r="B65" s="4" t="s">
        <v>287</v>
      </c>
      <c r="C65" s="4" t="s">
        <v>109</v>
      </c>
    </row>
    <row r="66" spans="1:4" s="4" customFormat="1" x14ac:dyDescent="0.3">
      <c r="A66" s="4" t="s">
        <v>1</v>
      </c>
      <c r="B66" s="4" t="s">
        <v>213</v>
      </c>
      <c r="C66" s="4" t="s">
        <v>109</v>
      </c>
    </row>
    <row r="67" spans="1:4" s="4" customFormat="1" x14ac:dyDescent="0.3">
      <c r="A67" s="4" t="s">
        <v>1</v>
      </c>
      <c r="B67" s="4" t="s">
        <v>459</v>
      </c>
      <c r="C67" s="4" t="s">
        <v>109</v>
      </c>
    </row>
    <row r="68" spans="1:4" s="4" customFormat="1" x14ac:dyDescent="0.3">
      <c r="A68" s="4" t="s">
        <v>1</v>
      </c>
      <c r="B68" s="9" t="s">
        <v>236</v>
      </c>
      <c r="C68" s="9" t="s">
        <v>109</v>
      </c>
      <c r="D68" s="8"/>
    </row>
    <row r="69" spans="1:4" s="4" customFormat="1" x14ac:dyDescent="0.3">
      <c r="A69" s="4" t="s">
        <v>1</v>
      </c>
      <c r="B69" s="4" t="s">
        <v>237</v>
      </c>
      <c r="C69" s="9" t="s">
        <v>109</v>
      </c>
      <c r="D69" s="8"/>
    </row>
    <row r="70" spans="1:4" s="4" customFormat="1" x14ac:dyDescent="0.3">
      <c r="A70" s="4" t="s">
        <v>1</v>
      </c>
      <c r="B70" s="4" t="s">
        <v>235</v>
      </c>
      <c r="C70" s="9" t="s">
        <v>109</v>
      </c>
      <c r="D70" s="8"/>
    </row>
    <row r="71" spans="1:4" s="4" customFormat="1" x14ac:dyDescent="0.3">
      <c r="A71" s="4" t="s">
        <v>1</v>
      </c>
      <c r="B71" s="4" t="s">
        <v>211</v>
      </c>
      <c r="C71" s="4" t="s">
        <v>109</v>
      </c>
    </row>
    <row r="72" spans="1:4" s="4" customFormat="1" x14ac:dyDescent="0.3">
      <c r="A72" s="4" t="s">
        <v>1</v>
      </c>
      <c r="B72" s="4" t="s">
        <v>212</v>
      </c>
      <c r="C72" s="4" t="s">
        <v>109</v>
      </c>
    </row>
    <row r="73" spans="1:4" s="4" customFormat="1" x14ac:dyDescent="0.3">
      <c r="A73" s="4" t="s">
        <v>1</v>
      </c>
      <c r="B73" s="4" t="s">
        <v>214</v>
      </c>
      <c r="C73" s="4" t="s">
        <v>109</v>
      </c>
    </row>
    <row r="74" spans="1:4" s="4" customFormat="1" x14ac:dyDescent="0.3">
      <c r="B74" s="38" t="s">
        <v>88</v>
      </c>
      <c r="C74" s="38"/>
      <c r="D74" s="38"/>
    </row>
    <row r="75" spans="1:4" s="4" customFormat="1" x14ac:dyDescent="0.3">
      <c r="A75" s="4" t="s">
        <v>1</v>
      </c>
      <c r="B75" s="4" t="s">
        <v>281</v>
      </c>
      <c r="C75" s="4" t="s">
        <v>109</v>
      </c>
    </row>
    <row r="76" spans="1:4" s="4" customFormat="1" x14ac:dyDescent="0.3">
      <c r="A76" s="4" t="s">
        <v>1</v>
      </c>
      <c r="B76" s="4" t="s">
        <v>285</v>
      </c>
      <c r="C76" s="4" t="s">
        <v>109</v>
      </c>
    </row>
    <row r="77" spans="1:4" s="4" customFormat="1" x14ac:dyDescent="0.3">
      <c r="B77" s="38" t="s">
        <v>89</v>
      </c>
      <c r="C77" s="38"/>
      <c r="D77" s="38"/>
    </row>
    <row r="78" spans="1:4" s="4" customFormat="1" x14ac:dyDescent="0.3">
      <c r="B78" s="38" t="s">
        <v>90</v>
      </c>
      <c r="C78" s="38"/>
      <c r="D78" s="38"/>
    </row>
    <row r="79" spans="1:4" s="4" customFormat="1" x14ac:dyDescent="0.3">
      <c r="A79" s="4" t="s">
        <v>1</v>
      </c>
      <c r="B79" s="4" t="s">
        <v>280</v>
      </c>
      <c r="C79" s="4" t="s">
        <v>109</v>
      </c>
    </row>
    <row r="80" spans="1:4" s="4" customFormat="1" x14ac:dyDescent="0.3">
      <c r="A80" s="4" t="s">
        <v>1</v>
      </c>
      <c r="B80" s="4" t="s">
        <v>283</v>
      </c>
      <c r="C80" s="4" t="s">
        <v>109</v>
      </c>
    </row>
    <row r="81" spans="1:4" s="4" customFormat="1" x14ac:dyDescent="0.3">
      <c r="A81" s="4" t="s">
        <v>1</v>
      </c>
      <c r="B81" s="4" t="s">
        <v>329</v>
      </c>
      <c r="C81" s="4" t="s">
        <v>109</v>
      </c>
    </row>
    <row r="82" spans="1:4" s="4" customFormat="1" x14ac:dyDescent="0.3">
      <c r="A82" s="4" t="s">
        <v>1</v>
      </c>
      <c r="B82" s="4" t="s">
        <v>277</v>
      </c>
      <c r="C82" s="4" t="s">
        <v>109</v>
      </c>
    </row>
    <row r="83" spans="1:4" s="4" customFormat="1" x14ac:dyDescent="0.3">
      <c r="A83" s="4" t="s">
        <v>1</v>
      </c>
      <c r="B83" s="4" t="s">
        <v>284</v>
      </c>
      <c r="C83" s="4" t="s">
        <v>109</v>
      </c>
    </row>
    <row r="84" spans="1:4" s="4" customFormat="1" x14ac:dyDescent="0.3">
      <c r="A84" s="4" t="s">
        <v>1</v>
      </c>
      <c r="B84" s="4" t="s">
        <v>203</v>
      </c>
      <c r="C84" s="4" t="s">
        <v>109</v>
      </c>
    </row>
    <row r="85" spans="1:4" s="4" customFormat="1" x14ac:dyDescent="0.3">
      <c r="A85" s="4" t="s">
        <v>1</v>
      </c>
      <c r="B85" s="4" t="s">
        <v>204</v>
      </c>
      <c r="C85" s="4" t="s">
        <v>109</v>
      </c>
    </row>
    <row r="86" spans="1:4" s="4" customFormat="1" x14ac:dyDescent="0.3">
      <c r="A86" s="4" t="s">
        <v>1</v>
      </c>
      <c r="B86" s="4" t="s">
        <v>205</v>
      </c>
      <c r="C86" s="4" t="s">
        <v>109</v>
      </c>
    </row>
    <row r="87" spans="1:4" s="4" customFormat="1" x14ac:dyDescent="0.3">
      <c r="A87" s="4" t="s">
        <v>1</v>
      </c>
      <c r="B87" s="4" t="s">
        <v>279</v>
      </c>
      <c r="C87" s="4" t="s">
        <v>109</v>
      </c>
    </row>
    <row r="88" spans="1:4" s="4" customFormat="1" x14ac:dyDescent="0.3">
      <c r="A88" s="4" t="s">
        <v>1</v>
      </c>
      <c r="B88" s="4" t="s">
        <v>282</v>
      </c>
      <c r="C88" s="4" t="s">
        <v>109</v>
      </c>
    </row>
    <row r="89" spans="1:4" s="4" customFormat="1" x14ac:dyDescent="0.3">
      <c r="B89" s="38" t="s">
        <v>91</v>
      </c>
      <c r="C89" s="38"/>
      <c r="D89" s="38"/>
    </row>
    <row r="90" spans="1:4" s="4" customFormat="1" x14ac:dyDescent="0.3">
      <c r="A90" s="4" t="s">
        <v>1</v>
      </c>
      <c r="B90" s="4" t="s">
        <v>206</v>
      </c>
      <c r="C90" s="4" t="s">
        <v>109</v>
      </c>
    </row>
    <row r="91" spans="1:4" s="4" customFormat="1" x14ac:dyDescent="0.3">
      <c r="A91" s="4" t="s">
        <v>1</v>
      </c>
      <c r="B91" s="4" t="s">
        <v>278</v>
      </c>
      <c r="C91" s="4" t="s">
        <v>109</v>
      </c>
    </row>
    <row r="92" spans="1:4" s="4" customFormat="1" x14ac:dyDescent="0.3">
      <c r="A92" s="4" t="s">
        <v>1</v>
      </c>
      <c r="B92" s="4" t="s">
        <v>286</v>
      </c>
      <c r="C92" s="4" t="s">
        <v>109</v>
      </c>
    </row>
    <row r="93" spans="1:4" s="4" customFormat="1" x14ac:dyDescent="0.3">
      <c r="A93" s="4" t="s">
        <v>1</v>
      </c>
      <c r="B93" s="4" t="s">
        <v>207</v>
      </c>
      <c r="C93" s="4" t="s">
        <v>109</v>
      </c>
    </row>
    <row r="94" spans="1:4" s="4" customFormat="1" x14ac:dyDescent="0.3">
      <c r="B94" s="38" t="s">
        <v>92</v>
      </c>
      <c r="C94" s="38" t="s">
        <v>109</v>
      </c>
      <c r="D94" s="38"/>
    </row>
    <row r="95" spans="1:4" s="4" customFormat="1" x14ac:dyDescent="0.3">
      <c r="B95" s="38" t="s">
        <v>93</v>
      </c>
      <c r="C95" s="38" t="s">
        <v>109</v>
      </c>
      <c r="D95" s="38"/>
    </row>
    <row r="96" spans="1:4" s="4" customFormat="1" x14ac:dyDescent="0.3">
      <c r="B96" s="38" t="s">
        <v>94</v>
      </c>
      <c r="C96" s="38" t="s">
        <v>109</v>
      </c>
      <c r="D96" s="38"/>
    </row>
    <row r="97" spans="1:4" s="4" customFormat="1" x14ac:dyDescent="0.3">
      <c r="A97" s="4" t="s">
        <v>1</v>
      </c>
      <c r="B97" s="4" t="s">
        <v>208</v>
      </c>
      <c r="C97" s="4" t="s">
        <v>109</v>
      </c>
    </row>
    <row r="98" spans="1:4" s="4" customFormat="1" x14ac:dyDescent="0.3">
      <c r="A98" s="4" t="s">
        <v>1</v>
      </c>
      <c r="B98" s="4" t="s">
        <v>209</v>
      </c>
      <c r="C98" s="4" t="s">
        <v>109</v>
      </c>
    </row>
    <row r="99" spans="1:4" s="4" customFormat="1" x14ac:dyDescent="0.3">
      <c r="A99" s="4" t="s">
        <v>1</v>
      </c>
      <c r="B99" s="4" t="s">
        <v>210</v>
      </c>
      <c r="C99" s="4" t="s">
        <v>109</v>
      </c>
    </row>
    <row r="100" spans="1:4" s="4" customFormat="1" x14ac:dyDescent="0.3">
      <c r="B100" s="38" t="s">
        <v>96</v>
      </c>
      <c r="C100" s="38" t="s">
        <v>109</v>
      </c>
      <c r="D100" s="38"/>
    </row>
    <row r="101" spans="1:4" s="4" customFormat="1" x14ac:dyDescent="0.3">
      <c r="A101" s="4" t="s">
        <v>1</v>
      </c>
      <c r="B101" s="4" t="s">
        <v>215</v>
      </c>
      <c r="C101" s="4" t="s">
        <v>109</v>
      </c>
    </row>
    <row r="102" spans="1:4" s="4" customFormat="1" x14ac:dyDescent="0.3">
      <c r="B102" s="38" t="s">
        <v>97</v>
      </c>
      <c r="C102" s="38" t="s">
        <v>109</v>
      </c>
      <c r="D102" s="38"/>
    </row>
    <row r="103" spans="1:4" s="4" customFormat="1" x14ac:dyDescent="0.3">
      <c r="A103" s="4" t="s">
        <v>1</v>
      </c>
      <c r="B103" s="4" t="s">
        <v>216</v>
      </c>
      <c r="C103" s="4" t="s">
        <v>109</v>
      </c>
    </row>
    <row r="104" spans="1:4" s="4" customFormat="1" x14ac:dyDescent="0.3">
      <c r="A104" s="4" t="s">
        <v>1</v>
      </c>
      <c r="B104" s="4" t="s">
        <v>217</v>
      </c>
      <c r="C104" s="4" t="s">
        <v>109</v>
      </c>
    </row>
    <row r="105" spans="1:4" s="4" customFormat="1" x14ac:dyDescent="0.3">
      <c r="A105" s="4" t="s">
        <v>1</v>
      </c>
      <c r="B105" s="4" t="s">
        <v>218</v>
      </c>
      <c r="C105" s="4" t="s">
        <v>109</v>
      </c>
    </row>
    <row r="106" spans="1:4" s="4" customFormat="1" x14ac:dyDescent="0.3">
      <c r="A106" s="4" t="s">
        <v>1</v>
      </c>
      <c r="B106" s="4" t="s">
        <v>219</v>
      </c>
      <c r="C106" s="4" t="s">
        <v>109</v>
      </c>
    </row>
    <row r="107" spans="1:4" s="4" customFormat="1" x14ac:dyDescent="0.3">
      <c r="B107" s="38" t="s">
        <v>245</v>
      </c>
      <c r="C107" s="38" t="s">
        <v>109</v>
      </c>
      <c r="D107" s="38"/>
    </row>
    <row r="108" spans="1:4" s="4" customFormat="1" x14ac:dyDescent="0.3">
      <c r="A108" s="4" t="s">
        <v>1</v>
      </c>
      <c r="B108" s="4" t="s">
        <v>254</v>
      </c>
      <c r="C108" s="4" t="s">
        <v>109</v>
      </c>
    </row>
    <row r="109" spans="1:4" s="4" customFormat="1" x14ac:dyDescent="0.3">
      <c r="B109" s="38" t="s">
        <v>325</v>
      </c>
      <c r="C109" s="38" t="s">
        <v>109</v>
      </c>
      <c r="D109" s="38"/>
    </row>
    <row r="110" spans="1:4" s="4" customFormat="1" x14ac:dyDescent="0.3">
      <c r="A110" s="4" t="s">
        <v>1</v>
      </c>
      <c r="B110" s="4" t="s">
        <v>288</v>
      </c>
      <c r="C110" s="4" t="s">
        <v>109</v>
      </c>
    </row>
    <row r="111" spans="1:4" s="4" customFormat="1" x14ac:dyDescent="0.3">
      <c r="A111" s="4" t="s">
        <v>1</v>
      </c>
      <c r="B111" s="4" t="s">
        <v>288</v>
      </c>
      <c r="C111" s="4" t="s">
        <v>109</v>
      </c>
    </row>
    <row r="112" spans="1:4" s="4" customFormat="1" x14ac:dyDescent="0.3">
      <c r="A112" s="4" t="s">
        <v>1</v>
      </c>
      <c r="D112" s="6" t="s">
        <v>714</v>
      </c>
    </row>
    <row r="113" spans="1:5" s="4" customFormat="1" x14ac:dyDescent="0.3"/>
    <row r="114" spans="1:5" s="4" customFormat="1" x14ac:dyDescent="0.3">
      <c r="A114" s="4" t="s">
        <v>1</v>
      </c>
      <c r="B114" s="39" t="s">
        <v>357</v>
      </c>
      <c r="C114" s="39"/>
      <c r="D114" s="39"/>
    </row>
    <row r="115" spans="1:5" s="4" customFormat="1" x14ac:dyDescent="0.3">
      <c r="A115" s="4" t="s">
        <v>1</v>
      </c>
      <c r="B115" s="4" t="s">
        <v>117</v>
      </c>
      <c r="C115" s="4" t="s">
        <v>109</v>
      </c>
      <c r="E115" s="4" t="s">
        <v>2</v>
      </c>
    </row>
    <row r="116" spans="1:5" s="4" customFormat="1" x14ac:dyDescent="0.3">
      <c r="A116" s="4" t="s">
        <v>1</v>
      </c>
      <c r="B116" s="4" t="s">
        <v>118</v>
      </c>
      <c r="C116" s="4" t="s">
        <v>109</v>
      </c>
      <c r="E116" s="4" t="s">
        <v>3</v>
      </c>
    </row>
    <row r="117" spans="1:5" s="4" customFormat="1" x14ac:dyDescent="0.3">
      <c r="A117" s="4" t="s">
        <v>1</v>
      </c>
      <c r="B117" s="4" t="s">
        <v>119</v>
      </c>
      <c r="C117" s="4" t="s">
        <v>109</v>
      </c>
      <c r="E117" s="4" t="s">
        <v>4</v>
      </c>
    </row>
    <row r="118" spans="1:5" s="4" customFormat="1" x14ac:dyDescent="0.3">
      <c r="A118" s="4" t="s">
        <v>1</v>
      </c>
      <c r="B118" s="4" t="s">
        <v>120</v>
      </c>
      <c r="C118" s="4" t="s">
        <v>109</v>
      </c>
      <c r="E118" s="4" t="s">
        <v>5</v>
      </c>
    </row>
    <row r="119" spans="1:5" s="4" customFormat="1" x14ac:dyDescent="0.3">
      <c r="A119" s="4" t="s">
        <v>1</v>
      </c>
      <c r="B119" s="4" t="s">
        <v>121</v>
      </c>
      <c r="C119" s="4" t="s">
        <v>109</v>
      </c>
      <c r="E119" s="4" t="s">
        <v>6</v>
      </c>
    </row>
    <row r="120" spans="1:5" s="4" customFormat="1" x14ac:dyDescent="0.3">
      <c r="A120" s="4" t="s">
        <v>1</v>
      </c>
      <c r="B120" s="4" t="s">
        <v>122</v>
      </c>
      <c r="C120" s="4" t="s">
        <v>109</v>
      </c>
      <c r="E120" s="4" t="s">
        <v>7</v>
      </c>
    </row>
    <row r="121" spans="1:5" s="4" customFormat="1" x14ac:dyDescent="0.3">
      <c r="A121" s="4" t="s">
        <v>1</v>
      </c>
      <c r="B121" s="4" t="s">
        <v>123</v>
      </c>
      <c r="C121" s="4" t="s">
        <v>109</v>
      </c>
      <c r="E121" s="4" t="s">
        <v>8</v>
      </c>
    </row>
    <row r="122" spans="1:5" s="4" customFormat="1" x14ac:dyDescent="0.3">
      <c r="A122" s="4" t="s">
        <v>1</v>
      </c>
      <c r="B122" s="4" t="s">
        <v>124</v>
      </c>
      <c r="C122" s="4" t="s">
        <v>109</v>
      </c>
      <c r="E122" s="4" t="s">
        <v>9</v>
      </c>
    </row>
    <row r="123" spans="1:5" s="4" customFormat="1" x14ac:dyDescent="0.3">
      <c r="A123" s="4" t="s">
        <v>1</v>
      </c>
      <c r="B123" s="4" t="s">
        <v>125</v>
      </c>
      <c r="C123" s="4" t="s">
        <v>109</v>
      </c>
      <c r="E123" s="4" t="s">
        <v>10</v>
      </c>
    </row>
    <row r="124" spans="1:5" s="4" customFormat="1" x14ac:dyDescent="0.3">
      <c r="A124" s="4" t="s">
        <v>1</v>
      </c>
      <c r="B124" s="4" t="s">
        <v>126</v>
      </c>
      <c r="C124" s="4" t="s">
        <v>109</v>
      </c>
      <c r="E124" s="4" t="s">
        <v>11</v>
      </c>
    </row>
    <row r="125" spans="1:5" s="4" customFormat="1" x14ac:dyDescent="0.3">
      <c r="A125" s="4" t="s">
        <v>1</v>
      </c>
      <c r="B125" s="4" t="s">
        <v>127</v>
      </c>
      <c r="C125" s="4" t="s">
        <v>109</v>
      </c>
      <c r="E125" s="4" t="s">
        <v>12</v>
      </c>
    </row>
    <row r="126" spans="1:5" s="4" customFormat="1" x14ac:dyDescent="0.3">
      <c r="A126" s="4" t="s">
        <v>1</v>
      </c>
      <c r="B126" s="4" t="s">
        <v>128</v>
      </c>
      <c r="C126" s="4" t="s">
        <v>109</v>
      </c>
      <c r="E126" s="4" t="s">
        <v>13</v>
      </c>
    </row>
    <row r="127" spans="1:5" s="4" customFormat="1" x14ac:dyDescent="0.3">
      <c r="A127" s="4" t="s">
        <v>1</v>
      </c>
      <c r="B127" s="4" t="s">
        <v>129</v>
      </c>
      <c r="C127" s="4" t="s">
        <v>109</v>
      </c>
      <c r="E127" s="4" t="s">
        <v>14</v>
      </c>
    </row>
    <row r="128" spans="1:5" s="4" customFormat="1" x14ac:dyDescent="0.3">
      <c r="A128" s="4" t="s">
        <v>1</v>
      </c>
      <c r="B128" s="4" t="s">
        <v>130</v>
      </c>
      <c r="C128" s="4" t="s">
        <v>109</v>
      </c>
      <c r="E128" s="4" t="s">
        <v>15</v>
      </c>
    </row>
    <row r="129" spans="1:5" s="4" customFormat="1" x14ac:dyDescent="0.3">
      <c r="A129" s="4" t="s">
        <v>1</v>
      </c>
      <c r="B129" s="4" t="s">
        <v>131</v>
      </c>
      <c r="C129" s="4" t="s">
        <v>109</v>
      </c>
      <c r="E129" s="4" t="s">
        <v>16</v>
      </c>
    </row>
    <row r="130" spans="1:5" s="4" customFormat="1" x14ac:dyDescent="0.3">
      <c r="A130" s="4" t="s">
        <v>1</v>
      </c>
      <c r="B130" s="4" t="s">
        <v>132</v>
      </c>
      <c r="C130" s="4" t="s">
        <v>109</v>
      </c>
      <c r="E130" s="4" t="s">
        <v>17</v>
      </c>
    </row>
    <row r="131" spans="1:5" s="4" customFormat="1" x14ac:dyDescent="0.3">
      <c r="A131" s="4" t="s">
        <v>1</v>
      </c>
      <c r="B131" s="4" t="s">
        <v>133</v>
      </c>
      <c r="C131" s="4" t="s">
        <v>109</v>
      </c>
      <c r="E131" s="4" t="s">
        <v>18</v>
      </c>
    </row>
    <row r="132" spans="1:5" s="4" customFormat="1" x14ac:dyDescent="0.3">
      <c r="A132" s="4" t="s">
        <v>1</v>
      </c>
      <c r="B132" s="4" t="s">
        <v>134</v>
      </c>
      <c r="C132" s="4" t="s">
        <v>109</v>
      </c>
      <c r="E132" s="4" t="s">
        <v>19</v>
      </c>
    </row>
    <row r="133" spans="1:5" s="4" customFormat="1" x14ac:dyDescent="0.3">
      <c r="A133" s="4" t="s">
        <v>1</v>
      </c>
      <c r="B133" s="4" t="s">
        <v>135</v>
      </c>
      <c r="C133" s="4" t="s">
        <v>109</v>
      </c>
      <c r="E133" s="4" t="s">
        <v>20</v>
      </c>
    </row>
    <row r="134" spans="1:5" s="4" customFormat="1" x14ac:dyDescent="0.3">
      <c r="A134" s="4" t="s">
        <v>1</v>
      </c>
      <c r="B134" s="4" t="s">
        <v>136</v>
      </c>
      <c r="C134" s="4" t="s">
        <v>109</v>
      </c>
      <c r="E134" s="4" t="s">
        <v>21</v>
      </c>
    </row>
    <row r="135" spans="1:5" s="4" customFormat="1" x14ac:dyDescent="0.3">
      <c r="A135" s="4" t="s">
        <v>1</v>
      </c>
      <c r="B135" s="4" t="s">
        <v>137</v>
      </c>
      <c r="C135" s="4" t="s">
        <v>109</v>
      </c>
      <c r="E135" s="4" t="s">
        <v>22</v>
      </c>
    </row>
    <row r="136" spans="1:5" s="4" customFormat="1" x14ac:dyDescent="0.3">
      <c r="A136" s="4" t="s">
        <v>1</v>
      </c>
      <c r="B136" s="4" t="s">
        <v>138</v>
      </c>
      <c r="C136" s="4" t="s">
        <v>109</v>
      </c>
      <c r="E136" s="4" t="s">
        <v>23</v>
      </c>
    </row>
    <row r="137" spans="1:5" s="4" customFormat="1" x14ac:dyDescent="0.3">
      <c r="A137" s="4" t="s">
        <v>1</v>
      </c>
      <c r="B137" s="4" t="s">
        <v>139</v>
      </c>
      <c r="C137" s="4" t="s">
        <v>109</v>
      </c>
      <c r="E137" s="4" t="s">
        <v>24</v>
      </c>
    </row>
    <row r="138" spans="1:5" s="4" customFormat="1" x14ac:dyDescent="0.3">
      <c r="A138" s="4" t="s">
        <v>1</v>
      </c>
      <c r="B138" s="4" t="s">
        <v>140</v>
      </c>
      <c r="C138" s="4" t="s">
        <v>109</v>
      </c>
      <c r="E138" s="4" t="s">
        <v>25</v>
      </c>
    </row>
    <row r="139" spans="1:5" s="4" customFormat="1" x14ac:dyDescent="0.3">
      <c r="A139" s="4" t="s">
        <v>1</v>
      </c>
      <c r="B139" s="4" t="s">
        <v>141</v>
      </c>
      <c r="C139" s="4" t="s">
        <v>109</v>
      </c>
      <c r="E139" s="4" t="s">
        <v>26</v>
      </c>
    </row>
    <row r="140" spans="1:5" s="4" customFormat="1" x14ac:dyDescent="0.3">
      <c r="A140" s="4" t="s">
        <v>1</v>
      </c>
      <c r="B140" s="4" t="s">
        <v>142</v>
      </c>
      <c r="C140" s="4" t="s">
        <v>109</v>
      </c>
      <c r="E140" s="4" t="s">
        <v>27</v>
      </c>
    </row>
    <row r="141" spans="1:5" s="4" customFormat="1" x14ac:dyDescent="0.3">
      <c r="A141" s="4" t="s">
        <v>1</v>
      </c>
      <c r="B141" s="4" t="s">
        <v>143</v>
      </c>
      <c r="C141" s="4" t="s">
        <v>109</v>
      </c>
      <c r="E141" s="4" t="s">
        <v>28</v>
      </c>
    </row>
    <row r="142" spans="1:5" s="4" customFormat="1" x14ac:dyDescent="0.3">
      <c r="A142" s="4" t="s">
        <v>1</v>
      </c>
      <c r="B142" s="4" t="s">
        <v>144</v>
      </c>
      <c r="C142" s="4" t="s">
        <v>109</v>
      </c>
      <c r="E142" s="4" t="s">
        <v>29</v>
      </c>
    </row>
    <row r="143" spans="1:5" s="4" customFormat="1" x14ac:dyDescent="0.3">
      <c r="A143" s="4" t="s">
        <v>1</v>
      </c>
      <c r="B143" s="4" t="s">
        <v>145</v>
      </c>
      <c r="C143" s="4" t="s">
        <v>109</v>
      </c>
      <c r="E143" s="4" t="s">
        <v>30</v>
      </c>
    </row>
    <row r="144" spans="1:5" s="4" customFormat="1" x14ac:dyDescent="0.3">
      <c r="A144" s="4" t="s">
        <v>1</v>
      </c>
      <c r="B144" s="4" t="s">
        <v>263</v>
      </c>
      <c r="C144" s="4" t="s">
        <v>109</v>
      </c>
      <c r="E144" s="4" t="s">
        <v>266</v>
      </c>
    </row>
    <row r="145" spans="1:5" s="4" customFormat="1" x14ac:dyDescent="0.3">
      <c r="A145" s="4" t="s">
        <v>1</v>
      </c>
      <c r="B145" s="4" t="s">
        <v>264</v>
      </c>
      <c r="C145" s="4" t="s">
        <v>109</v>
      </c>
      <c r="E145" s="4" t="s">
        <v>267</v>
      </c>
    </row>
    <row r="146" spans="1:5" s="4" customFormat="1" x14ac:dyDescent="0.3">
      <c r="A146" s="4" t="s">
        <v>1</v>
      </c>
      <c r="B146" s="4" t="s">
        <v>265</v>
      </c>
      <c r="C146" s="4" t="s">
        <v>109</v>
      </c>
      <c r="E146" s="4" t="s">
        <v>268</v>
      </c>
    </row>
    <row r="147" spans="1:5" s="4" customFormat="1" x14ac:dyDescent="0.3">
      <c r="A147" s="4" t="s">
        <v>1</v>
      </c>
      <c r="B147" s="4" t="s">
        <v>146</v>
      </c>
      <c r="C147" s="4" t="s">
        <v>109</v>
      </c>
      <c r="E147" s="4" t="s">
        <v>31</v>
      </c>
    </row>
    <row r="148" spans="1:5" s="4" customFormat="1" x14ac:dyDescent="0.3">
      <c r="A148" s="4" t="s">
        <v>1</v>
      </c>
      <c r="B148" s="4" t="s">
        <v>147</v>
      </c>
      <c r="C148" s="4" t="s">
        <v>109</v>
      </c>
      <c r="E148" s="4" t="s">
        <v>32</v>
      </c>
    </row>
    <row r="149" spans="1:5" s="4" customFormat="1" x14ac:dyDescent="0.3">
      <c r="A149" s="4" t="s">
        <v>1</v>
      </c>
      <c r="B149" s="4" t="s">
        <v>148</v>
      </c>
      <c r="C149" s="4" t="s">
        <v>109</v>
      </c>
      <c r="E149" s="4" t="s">
        <v>33</v>
      </c>
    </row>
    <row r="150" spans="1:5" s="4" customFormat="1" x14ac:dyDescent="0.3">
      <c r="A150" s="4" t="s">
        <v>1</v>
      </c>
      <c r="B150" s="4" t="s">
        <v>149</v>
      </c>
      <c r="C150" s="4" t="s">
        <v>109</v>
      </c>
      <c r="E150" s="4" t="s">
        <v>34</v>
      </c>
    </row>
    <row r="151" spans="1:5" s="4" customFormat="1" x14ac:dyDescent="0.3">
      <c r="A151" s="4" t="s">
        <v>1</v>
      </c>
      <c r="B151" s="4" t="s">
        <v>150</v>
      </c>
      <c r="C151" s="4" t="s">
        <v>109</v>
      </c>
      <c r="E151" s="4" t="s">
        <v>35</v>
      </c>
    </row>
    <row r="152" spans="1:5" s="4" customFormat="1" x14ac:dyDescent="0.3">
      <c r="A152" s="4" t="s">
        <v>1</v>
      </c>
      <c r="B152" s="4" t="s">
        <v>151</v>
      </c>
      <c r="C152" s="4" t="s">
        <v>109</v>
      </c>
      <c r="E152" s="4" t="s">
        <v>36</v>
      </c>
    </row>
    <row r="153" spans="1:5" s="4" customFormat="1" x14ac:dyDescent="0.3">
      <c r="A153" s="4" t="s">
        <v>1</v>
      </c>
      <c r="B153" s="4" t="s">
        <v>152</v>
      </c>
      <c r="C153" s="4" t="s">
        <v>109</v>
      </c>
      <c r="E153" s="4" t="s">
        <v>37</v>
      </c>
    </row>
    <row r="154" spans="1:5" s="4" customFormat="1" x14ac:dyDescent="0.3">
      <c r="A154" s="4" t="s">
        <v>1</v>
      </c>
      <c r="B154" s="4" t="s">
        <v>153</v>
      </c>
      <c r="C154" s="4" t="s">
        <v>109</v>
      </c>
      <c r="E154" s="4" t="s">
        <v>38</v>
      </c>
    </row>
    <row r="155" spans="1:5" s="4" customFormat="1" x14ac:dyDescent="0.3">
      <c r="A155" s="4" t="s">
        <v>1</v>
      </c>
      <c r="B155" s="4" t="s">
        <v>154</v>
      </c>
      <c r="C155" s="4" t="s">
        <v>109</v>
      </c>
      <c r="E155" s="4" t="s">
        <v>39</v>
      </c>
    </row>
    <row r="156" spans="1:5" s="4" customFormat="1" x14ac:dyDescent="0.3">
      <c r="A156" s="4" t="s">
        <v>1</v>
      </c>
      <c r="B156" s="4" t="s">
        <v>250</v>
      </c>
      <c r="C156" s="4" t="s">
        <v>109</v>
      </c>
      <c r="E156" s="4" t="s">
        <v>247</v>
      </c>
    </row>
    <row r="157" spans="1:5" s="4" customFormat="1" x14ac:dyDescent="0.3">
      <c r="A157" s="4" t="s">
        <v>1</v>
      </c>
      <c r="B157" s="4" t="s">
        <v>251</v>
      </c>
      <c r="C157" s="4" t="s">
        <v>109</v>
      </c>
      <c r="E157" s="4" t="s">
        <v>248</v>
      </c>
    </row>
    <row r="158" spans="1:5" s="4" customFormat="1" x14ac:dyDescent="0.3">
      <c r="A158" s="4" t="s">
        <v>1</v>
      </c>
      <c r="B158" s="4" t="s">
        <v>252</v>
      </c>
      <c r="C158" s="4" t="s">
        <v>109</v>
      </c>
      <c r="E158" s="4" t="s">
        <v>249</v>
      </c>
    </row>
    <row r="159" spans="1:5" s="4" customFormat="1" x14ac:dyDescent="0.3">
      <c r="A159" s="4" t="s">
        <v>1</v>
      </c>
      <c r="B159" s="4" t="s">
        <v>155</v>
      </c>
      <c r="C159" s="4" t="s">
        <v>109</v>
      </c>
      <c r="E159" s="4" t="s">
        <v>40</v>
      </c>
    </row>
    <row r="160" spans="1:5" s="4" customFormat="1" x14ac:dyDescent="0.3">
      <c r="A160" s="4" t="s">
        <v>1</v>
      </c>
      <c r="B160" s="4" t="s">
        <v>156</v>
      </c>
      <c r="C160" s="4" t="s">
        <v>109</v>
      </c>
      <c r="E160" s="4" t="s">
        <v>41</v>
      </c>
    </row>
    <row r="161" spans="1:5" s="4" customFormat="1" x14ac:dyDescent="0.3">
      <c r="A161" s="4" t="s">
        <v>1</v>
      </c>
      <c r="B161" s="4" t="s">
        <v>157</v>
      </c>
      <c r="C161" s="4" t="s">
        <v>109</v>
      </c>
      <c r="E161" s="4" t="s">
        <v>42</v>
      </c>
    </row>
    <row r="162" spans="1:5" s="4" customFormat="1" x14ac:dyDescent="0.3">
      <c r="A162" s="4" t="s">
        <v>1</v>
      </c>
      <c r="B162" s="4" t="s">
        <v>158</v>
      </c>
      <c r="C162" s="4" t="s">
        <v>109</v>
      </c>
      <c r="E162" s="4" t="s">
        <v>43</v>
      </c>
    </row>
    <row r="163" spans="1:5" s="4" customFormat="1" x14ac:dyDescent="0.3">
      <c r="A163" s="4" t="s">
        <v>1</v>
      </c>
      <c r="B163" s="4" t="s">
        <v>159</v>
      </c>
      <c r="C163" s="4" t="s">
        <v>109</v>
      </c>
      <c r="E163" s="4" t="s">
        <v>44</v>
      </c>
    </row>
    <row r="164" spans="1:5" s="4" customFormat="1" x14ac:dyDescent="0.3">
      <c r="A164" s="4" t="s">
        <v>1</v>
      </c>
      <c r="B164" s="4" t="s">
        <v>160</v>
      </c>
      <c r="C164" s="4" t="s">
        <v>109</v>
      </c>
      <c r="E164" s="4" t="s">
        <v>45</v>
      </c>
    </row>
    <row r="165" spans="1:5" s="4" customFormat="1" x14ac:dyDescent="0.3">
      <c r="A165" s="4" t="s">
        <v>1</v>
      </c>
      <c r="B165" s="4" t="s">
        <v>161</v>
      </c>
      <c r="C165" s="4" t="s">
        <v>109</v>
      </c>
      <c r="E165" s="4" t="s">
        <v>46</v>
      </c>
    </row>
    <row r="166" spans="1:5" s="4" customFormat="1" x14ac:dyDescent="0.3">
      <c r="A166" s="4" t="s">
        <v>1</v>
      </c>
      <c r="B166" s="4" t="s">
        <v>162</v>
      </c>
      <c r="C166" s="4" t="s">
        <v>109</v>
      </c>
      <c r="E166" s="4" t="s">
        <v>47</v>
      </c>
    </row>
    <row r="167" spans="1:5" s="4" customFormat="1" x14ac:dyDescent="0.3">
      <c r="A167" s="4" t="s">
        <v>1</v>
      </c>
      <c r="B167" s="4" t="s">
        <v>163</v>
      </c>
      <c r="C167" s="4" t="s">
        <v>109</v>
      </c>
      <c r="E167" s="4" t="s">
        <v>48</v>
      </c>
    </row>
    <row r="168" spans="1:5" s="4" customFormat="1" x14ac:dyDescent="0.3">
      <c r="A168" s="4" t="s">
        <v>1</v>
      </c>
      <c r="B168" s="4" t="s">
        <v>164</v>
      </c>
      <c r="C168" s="4" t="s">
        <v>109</v>
      </c>
      <c r="E168" s="4" t="s">
        <v>49</v>
      </c>
    </row>
    <row r="169" spans="1:5" s="4" customFormat="1" x14ac:dyDescent="0.3">
      <c r="A169" s="4" t="s">
        <v>1</v>
      </c>
      <c r="B169" s="4" t="s">
        <v>165</v>
      </c>
      <c r="C169" s="4" t="s">
        <v>109</v>
      </c>
      <c r="E169" s="4" t="s">
        <v>50</v>
      </c>
    </row>
    <row r="170" spans="1:5" s="4" customFormat="1" x14ac:dyDescent="0.3">
      <c r="A170" s="4" t="s">
        <v>1</v>
      </c>
      <c r="B170" s="4" t="s">
        <v>166</v>
      </c>
      <c r="C170" s="4" t="s">
        <v>109</v>
      </c>
      <c r="E170" s="4" t="s">
        <v>51</v>
      </c>
    </row>
    <row r="171" spans="1:5" s="4" customFormat="1" x14ac:dyDescent="0.3">
      <c r="A171" s="4" t="s">
        <v>1</v>
      </c>
      <c r="B171" s="4" t="s">
        <v>167</v>
      </c>
      <c r="C171" s="4" t="s">
        <v>109</v>
      </c>
      <c r="E171" s="4" t="s">
        <v>52</v>
      </c>
    </row>
    <row r="172" spans="1:5" s="4" customFormat="1" x14ac:dyDescent="0.3">
      <c r="A172" s="4" t="s">
        <v>1</v>
      </c>
      <c r="B172" s="4" t="s">
        <v>168</v>
      </c>
      <c r="C172" s="4" t="s">
        <v>109</v>
      </c>
      <c r="E172" s="4" t="s">
        <v>53</v>
      </c>
    </row>
    <row r="173" spans="1:5" s="4" customFormat="1" x14ac:dyDescent="0.3">
      <c r="A173" s="4" t="s">
        <v>1</v>
      </c>
      <c r="B173" s="4" t="s">
        <v>169</v>
      </c>
      <c r="C173" s="4" t="s">
        <v>109</v>
      </c>
      <c r="E173" s="4" t="s">
        <v>54</v>
      </c>
    </row>
    <row r="174" spans="1:5" s="4" customFormat="1" x14ac:dyDescent="0.3">
      <c r="A174" s="4" t="s">
        <v>1</v>
      </c>
      <c r="B174" s="4" t="s">
        <v>170</v>
      </c>
      <c r="C174" s="4" t="s">
        <v>109</v>
      </c>
      <c r="E174" s="4" t="s">
        <v>55</v>
      </c>
    </row>
    <row r="175" spans="1:5" s="4" customFormat="1" x14ac:dyDescent="0.3">
      <c r="A175" s="4" t="s">
        <v>1</v>
      </c>
      <c r="B175" s="4" t="s">
        <v>171</v>
      </c>
      <c r="C175" s="4" t="s">
        <v>109</v>
      </c>
      <c r="E175" s="4" t="s">
        <v>56</v>
      </c>
    </row>
    <row r="176" spans="1:5" s="4" customFormat="1" x14ac:dyDescent="0.3">
      <c r="A176" s="4" t="s">
        <v>1</v>
      </c>
      <c r="B176" s="4" t="s">
        <v>172</v>
      </c>
      <c r="C176" s="4" t="s">
        <v>109</v>
      </c>
      <c r="E176" s="4" t="s">
        <v>57</v>
      </c>
    </row>
    <row r="177" spans="1:5" s="4" customFormat="1" x14ac:dyDescent="0.3">
      <c r="A177" s="4" t="s">
        <v>1</v>
      </c>
      <c r="B177" s="4" t="s">
        <v>173</v>
      </c>
      <c r="C177" s="4" t="s">
        <v>109</v>
      </c>
      <c r="E177" s="4" t="s">
        <v>98</v>
      </c>
    </row>
    <row r="178" spans="1:5" s="4" customFormat="1" x14ac:dyDescent="0.3">
      <c r="A178" s="4" t="s">
        <v>1</v>
      </c>
      <c r="B178" s="4" t="s">
        <v>174</v>
      </c>
      <c r="C178" s="4" t="s">
        <v>109</v>
      </c>
      <c r="E178" s="4" t="s">
        <v>58</v>
      </c>
    </row>
    <row r="179" spans="1:5" s="4" customFormat="1" x14ac:dyDescent="0.3">
      <c r="A179" s="4" t="s">
        <v>1</v>
      </c>
      <c r="B179" s="4" t="s">
        <v>175</v>
      </c>
      <c r="C179" s="4" t="s">
        <v>109</v>
      </c>
      <c r="E179" s="4" t="s">
        <v>59</v>
      </c>
    </row>
    <row r="180" spans="1:5" s="4" customFormat="1" x14ac:dyDescent="0.3">
      <c r="A180" s="4" t="s">
        <v>1</v>
      </c>
      <c r="B180" s="4" t="s">
        <v>176</v>
      </c>
      <c r="C180" s="4" t="s">
        <v>109</v>
      </c>
      <c r="E180" s="4" t="s">
        <v>60</v>
      </c>
    </row>
    <row r="181" spans="1:5" s="4" customFormat="1" x14ac:dyDescent="0.3">
      <c r="A181" s="4" t="s">
        <v>1</v>
      </c>
      <c r="B181" s="4" t="s">
        <v>177</v>
      </c>
      <c r="C181" s="4" t="s">
        <v>109</v>
      </c>
      <c r="E181" s="4" t="s">
        <v>61</v>
      </c>
    </row>
    <row r="182" spans="1:5" s="4" customFormat="1" x14ac:dyDescent="0.3">
      <c r="A182" s="4" t="s">
        <v>1</v>
      </c>
      <c r="B182" s="4" t="s">
        <v>178</v>
      </c>
      <c r="C182" s="4" t="s">
        <v>109</v>
      </c>
      <c r="E182" s="4" t="s">
        <v>62</v>
      </c>
    </row>
    <row r="183" spans="1:5" s="4" customFormat="1" x14ac:dyDescent="0.3">
      <c r="A183" s="4" t="s">
        <v>1</v>
      </c>
      <c r="B183" s="4" t="s">
        <v>179</v>
      </c>
      <c r="C183" s="4" t="s">
        <v>109</v>
      </c>
      <c r="E183" s="4" t="s">
        <v>63</v>
      </c>
    </row>
    <row r="184" spans="1:5" s="4" customFormat="1" x14ac:dyDescent="0.3">
      <c r="A184" s="4" t="s">
        <v>1</v>
      </c>
      <c r="B184" s="4" t="s">
        <v>180</v>
      </c>
      <c r="C184" s="4" t="s">
        <v>109</v>
      </c>
      <c r="E184" s="4" t="s">
        <v>64</v>
      </c>
    </row>
    <row r="185" spans="1:5" s="4" customFormat="1" x14ac:dyDescent="0.3">
      <c r="A185" s="4" t="s">
        <v>1</v>
      </c>
      <c r="B185" s="4" t="s">
        <v>181</v>
      </c>
      <c r="C185" s="4" t="s">
        <v>109</v>
      </c>
      <c r="E185" s="4" t="s">
        <v>65</v>
      </c>
    </row>
    <row r="186" spans="1:5" s="4" customFormat="1" x14ac:dyDescent="0.3">
      <c r="A186" s="4" t="s">
        <v>1</v>
      </c>
      <c r="B186" s="4" t="s">
        <v>182</v>
      </c>
      <c r="C186" s="4" t="s">
        <v>109</v>
      </c>
      <c r="E186" s="4" t="s">
        <v>66</v>
      </c>
    </row>
    <row r="187" spans="1:5" s="4" customFormat="1" x14ac:dyDescent="0.3">
      <c r="A187" s="4" t="s">
        <v>1</v>
      </c>
      <c r="B187" s="4" t="s">
        <v>183</v>
      </c>
      <c r="C187" s="4" t="s">
        <v>109</v>
      </c>
      <c r="E187" s="4" t="s">
        <v>67</v>
      </c>
    </row>
    <row r="188" spans="1:5" s="4" customFormat="1" x14ac:dyDescent="0.3">
      <c r="A188" s="4" t="s">
        <v>1</v>
      </c>
      <c r="B188" s="4" t="s">
        <v>184</v>
      </c>
      <c r="C188" s="4" t="s">
        <v>109</v>
      </c>
      <c r="E188" s="4" t="s">
        <v>68</v>
      </c>
    </row>
    <row r="189" spans="1:5" s="4" customFormat="1" x14ac:dyDescent="0.3">
      <c r="A189" s="4" t="s">
        <v>1</v>
      </c>
      <c r="B189" s="4" t="s">
        <v>185</v>
      </c>
      <c r="C189" s="4" t="s">
        <v>109</v>
      </c>
      <c r="E189" s="4" t="s">
        <v>69</v>
      </c>
    </row>
    <row r="190" spans="1:5" s="4" customFormat="1" x14ac:dyDescent="0.3">
      <c r="A190" s="4" t="s">
        <v>1</v>
      </c>
      <c r="B190" s="4" t="s">
        <v>186</v>
      </c>
      <c r="C190" s="4" t="s">
        <v>109</v>
      </c>
      <c r="E190" s="4" t="s">
        <v>70</v>
      </c>
    </row>
    <row r="191" spans="1:5" s="4" customFormat="1" x14ac:dyDescent="0.3">
      <c r="A191" s="4" t="s">
        <v>1</v>
      </c>
      <c r="B191" s="4" t="s">
        <v>187</v>
      </c>
      <c r="C191" s="4" t="s">
        <v>109</v>
      </c>
      <c r="E191" s="4" t="s">
        <v>71</v>
      </c>
    </row>
    <row r="192" spans="1:5" s="4" customFormat="1" x14ac:dyDescent="0.3">
      <c r="A192" s="4" t="s">
        <v>1</v>
      </c>
      <c r="B192" s="4" t="s">
        <v>188</v>
      </c>
      <c r="C192" s="4" t="s">
        <v>109</v>
      </c>
      <c r="E192" s="4" t="s">
        <v>72</v>
      </c>
    </row>
    <row r="193" spans="1:5" s="4" customFormat="1" x14ac:dyDescent="0.3">
      <c r="A193" s="4" t="s">
        <v>1</v>
      </c>
      <c r="B193" s="4" t="s">
        <v>189</v>
      </c>
      <c r="C193" s="4" t="s">
        <v>109</v>
      </c>
      <c r="E193" s="4" t="s">
        <v>73</v>
      </c>
    </row>
    <row r="194" spans="1:5" s="4" customFormat="1" x14ac:dyDescent="0.3">
      <c r="A194" s="4" t="s">
        <v>1</v>
      </c>
      <c r="B194" s="4" t="s">
        <v>190</v>
      </c>
      <c r="C194" s="4" t="s">
        <v>109</v>
      </c>
      <c r="E194" s="4" t="s">
        <v>74</v>
      </c>
    </row>
    <row r="195" spans="1:5" s="4" customFormat="1" x14ac:dyDescent="0.3">
      <c r="A195" s="4" t="s">
        <v>1</v>
      </c>
      <c r="B195" s="4" t="s">
        <v>191</v>
      </c>
      <c r="C195" s="4" t="s">
        <v>109</v>
      </c>
      <c r="E195" s="4" t="s">
        <v>75</v>
      </c>
    </row>
    <row r="196" spans="1:5" s="4" customFormat="1" x14ac:dyDescent="0.3">
      <c r="A196" s="4" t="s">
        <v>1</v>
      </c>
      <c r="B196" s="4" t="s">
        <v>192</v>
      </c>
      <c r="C196" s="4" t="s">
        <v>109</v>
      </c>
      <c r="E196" s="4" t="s">
        <v>76</v>
      </c>
    </row>
    <row r="197" spans="1:5" s="4" customFormat="1" x14ac:dyDescent="0.3">
      <c r="A197" s="4" t="s">
        <v>1</v>
      </c>
      <c r="B197" s="4" t="s">
        <v>193</v>
      </c>
      <c r="C197" s="4" t="s">
        <v>109</v>
      </c>
      <c r="E197" s="4" t="s">
        <v>77</v>
      </c>
    </row>
    <row r="198" spans="1:5" s="4" customFormat="1" x14ac:dyDescent="0.3">
      <c r="A198" s="4" t="s">
        <v>1</v>
      </c>
      <c r="B198" s="4" t="s">
        <v>194</v>
      </c>
      <c r="C198" s="4" t="s">
        <v>109</v>
      </c>
      <c r="E198" s="4" t="s">
        <v>78</v>
      </c>
    </row>
    <row r="199" spans="1:5" s="4" customFormat="1" x14ac:dyDescent="0.3">
      <c r="A199" s="4" t="s">
        <v>1</v>
      </c>
      <c r="B199" s="4" t="s">
        <v>195</v>
      </c>
      <c r="C199" s="4" t="s">
        <v>109</v>
      </c>
      <c r="E199" s="4" t="s">
        <v>79</v>
      </c>
    </row>
    <row r="200" spans="1:5" s="4" customFormat="1" x14ac:dyDescent="0.3">
      <c r="A200" s="4" t="s">
        <v>1</v>
      </c>
      <c r="B200" s="4" t="s">
        <v>196</v>
      </c>
      <c r="C200" s="4" t="s">
        <v>109</v>
      </c>
      <c r="E200" s="4" t="s">
        <v>80</v>
      </c>
    </row>
    <row r="201" spans="1:5" s="4" customFormat="1" x14ac:dyDescent="0.3">
      <c r="A201" s="4" t="s">
        <v>1</v>
      </c>
      <c r="B201" s="4" t="s">
        <v>197</v>
      </c>
      <c r="C201" s="4" t="s">
        <v>109</v>
      </c>
      <c r="E201" s="4" t="s">
        <v>81</v>
      </c>
    </row>
    <row r="202" spans="1:5" s="4" customFormat="1" x14ac:dyDescent="0.3">
      <c r="A202" s="4" t="s">
        <v>1</v>
      </c>
      <c r="B202" s="4" t="s">
        <v>198</v>
      </c>
      <c r="C202" s="4" t="s">
        <v>109</v>
      </c>
      <c r="E202" s="4" t="s">
        <v>82</v>
      </c>
    </row>
    <row r="203" spans="1:5" s="4" customFormat="1" x14ac:dyDescent="0.3">
      <c r="A203" s="4" t="s">
        <v>1</v>
      </c>
      <c r="B203" s="4" t="s">
        <v>199</v>
      </c>
      <c r="C203" s="4" t="s">
        <v>109</v>
      </c>
      <c r="E203" s="4" t="s">
        <v>83</v>
      </c>
    </row>
    <row r="204" spans="1:5" s="4" customFormat="1" x14ac:dyDescent="0.3">
      <c r="A204" s="4" t="s">
        <v>1</v>
      </c>
      <c r="B204" s="4" t="s">
        <v>200</v>
      </c>
      <c r="C204" s="4" t="s">
        <v>109</v>
      </c>
      <c r="E204" s="4" t="s">
        <v>84</v>
      </c>
    </row>
    <row r="205" spans="1:5" s="4" customFormat="1" x14ac:dyDescent="0.3">
      <c r="A205" s="4" t="s">
        <v>1</v>
      </c>
      <c r="B205" s="4" t="s">
        <v>201</v>
      </c>
      <c r="C205" s="4" t="s">
        <v>109</v>
      </c>
      <c r="E205" s="4" t="s">
        <v>85</v>
      </c>
    </row>
    <row r="206" spans="1:5" s="4" customFormat="1" x14ac:dyDescent="0.3">
      <c r="A206" s="4" t="s">
        <v>1</v>
      </c>
      <c r="B206" s="4" t="s">
        <v>202</v>
      </c>
      <c r="C206" s="4" t="s">
        <v>109</v>
      </c>
      <c r="E206" s="4" t="s">
        <v>86</v>
      </c>
    </row>
    <row r="207" spans="1:5" s="4" customFormat="1" x14ac:dyDescent="0.3">
      <c r="A207" s="4" t="s">
        <v>1</v>
      </c>
      <c r="D207" s="4" t="s">
        <v>715</v>
      </c>
    </row>
  </sheetData>
  <dataConsolidate/>
  <mergeCells count="17">
    <mergeCell ref="B107:D107"/>
    <mergeCell ref="B109:D109"/>
    <mergeCell ref="B8:D8"/>
    <mergeCell ref="B2:D2"/>
    <mergeCell ref="B114:D114"/>
    <mergeCell ref="B32:D32"/>
    <mergeCell ref="B38:D38"/>
    <mergeCell ref="B74:D74"/>
    <mergeCell ref="B77:D77"/>
    <mergeCell ref="B78:D78"/>
    <mergeCell ref="B89:D89"/>
    <mergeCell ref="B94:D94"/>
    <mergeCell ref="B95:D95"/>
    <mergeCell ref="B96:D96"/>
    <mergeCell ref="B63:D63"/>
    <mergeCell ref="B100:D100"/>
    <mergeCell ref="B102:D102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F1ECE-75F4-487B-B24A-672F8939945F}">
  <sheetPr codeName="Sheet2">
    <tabColor theme="7"/>
  </sheetPr>
  <dimension ref="A2:B120"/>
  <sheetViews>
    <sheetView zoomScaleNormal="100" workbookViewId="0">
      <selection activeCell="B3" sqref="B3"/>
    </sheetView>
  </sheetViews>
  <sheetFormatPr defaultColWidth="8.77734375" defaultRowHeight="12" x14ac:dyDescent="0.25"/>
  <cols>
    <col min="1" max="1" width="8.77734375" style="23" customWidth="1"/>
    <col min="2" max="2" width="30.5546875" style="23" bestFit="1" customWidth="1"/>
    <col min="3" max="16384" width="8.77734375" style="23"/>
  </cols>
  <sheetData>
    <row r="2" spans="1:2" x14ac:dyDescent="0.25">
      <c r="A2" s="23" t="s">
        <v>697</v>
      </c>
    </row>
    <row r="3" spans="1:2" x14ac:dyDescent="0.25">
      <c r="A3" s="23" t="s">
        <v>101</v>
      </c>
      <c r="B3" s="23" t="s">
        <v>452</v>
      </c>
    </row>
    <row r="4" spans="1:2" x14ac:dyDescent="0.25">
      <c r="A4" s="23" t="s">
        <v>360</v>
      </c>
      <c r="B4" s="23" t="s">
        <v>452</v>
      </c>
    </row>
    <row r="5" spans="1:2" x14ac:dyDescent="0.25">
      <c r="A5" s="23" t="s">
        <v>466</v>
      </c>
      <c r="B5" s="23" t="s">
        <v>469</v>
      </c>
    </row>
    <row r="6" spans="1:2" x14ac:dyDescent="0.25">
      <c r="A6" s="23" t="s">
        <v>384</v>
      </c>
      <c r="B6" s="23" t="s">
        <v>504</v>
      </c>
    </row>
    <row r="7" spans="1:2" x14ac:dyDescent="0.25">
      <c r="A7" s="23" t="s">
        <v>323</v>
      </c>
      <c r="B7" s="23" t="s">
        <v>473</v>
      </c>
    </row>
    <row r="8" spans="1:2" x14ac:dyDescent="0.25">
      <c r="A8" s="23" t="s">
        <v>319</v>
      </c>
      <c r="B8" s="23" t="s">
        <v>505</v>
      </c>
    </row>
    <row r="9" spans="1:2" x14ac:dyDescent="0.25">
      <c r="A9" s="23" t="s">
        <v>492</v>
      </c>
      <c r="B9" s="23" t="s">
        <v>483</v>
      </c>
    </row>
    <row r="10" spans="1:2" x14ac:dyDescent="0.25">
      <c r="A10" s="23" t="s">
        <v>493</v>
      </c>
      <c r="B10" s="23" t="s">
        <v>316</v>
      </c>
    </row>
    <row r="11" spans="1:2" x14ac:dyDescent="0.25">
      <c r="A11" s="23" t="s">
        <v>366</v>
      </c>
      <c r="B11" s="23" t="s">
        <v>324</v>
      </c>
    </row>
    <row r="12" spans="1:2" x14ac:dyDescent="0.25">
      <c r="A12" s="23" t="s">
        <v>367</v>
      </c>
      <c r="B12" s="23" t="s">
        <v>320</v>
      </c>
    </row>
    <row r="13" spans="1:2" x14ac:dyDescent="0.25">
      <c r="A13" s="23" t="s">
        <v>494</v>
      </c>
      <c r="B13" s="23" t="s">
        <v>496</v>
      </c>
    </row>
    <row r="14" spans="1:2" x14ac:dyDescent="0.25">
      <c r="A14" s="23" t="s">
        <v>495</v>
      </c>
      <c r="B14" s="23" t="s">
        <v>497</v>
      </c>
    </row>
    <row r="15" spans="1:2" x14ac:dyDescent="0.25">
      <c r="A15" s="23" t="s">
        <v>385</v>
      </c>
      <c r="B15" s="23" t="s">
        <v>452</v>
      </c>
    </row>
    <row r="16" spans="1:2" x14ac:dyDescent="0.25">
      <c r="A16" s="23" t="s">
        <v>293</v>
      </c>
      <c r="B16" s="23" t="s">
        <v>506</v>
      </c>
    </row>
    <row r="17" spans="1:2" x14ac:dyDescent="0.25">
      <c r="A17" s="23" t="s">
        <v>294</v>
      </c>
      <c r="B17" s="23" t="s">
        <v>507</v>
      </c>
    </row>
    <row r="18" spans="1:2" x14ac:dyDescent="0.25">
      <c r="A18" s="23" t="s">
        <v>295</v>
      </c>
      <c r="B18" s="23" t="s">
        <v>508</v>
      </c>
    </row>
    <row r="19" spans="1:2" x14ac:dyDescent="0.25">
      <c r="A19" s="23" t="s">
        <v>296</v>
      </c>
      <c r="B19" s="23" t="s">
        <v>509</v>
      </c>
    </row>
    <row r="20" spans="1:2" x14ac:dyDescent="0.25">
      <c r="A20" s="23" t="s">
        <v>297</v>
      </c>
      <c r="B20" s="23" t="s">
        <v>510</v>
      </c>
    </row>
    <row r="21" spans="1:2" x14ac:dyDescent="0.25">
      <c r="A21" s="23" t="s">
        <v>298</v>
      </c>
      <c r="B21" s="23" t="s">
        <v>511</v>
      </c>
    </row>
    <row r="22" spans="1:2" x14ac:dyDescent="0.25">
      <c r="A22" s="23" t="s">
        <v>299</v>
      </c>
      <c r="B22" s="23" t="s">
        <v>512</v>
      </c>
    </row>
    <row r="23" spans="1:2" x14ac:dyDescent="0.25">
      <c r="A23" s="23" t="s">
        <v>300</v>
      </c>
      <c r="B23" s="23" t="s">
        <v>513</v>
      </c>
    </row>
    <row r="24" spans="1:2" x14ac:dyDescent="0.25">
      <c r="A24" s="23" t="s">
        <v>301</v>
      </c>
      <c r="B24" s="23" t="s">
        <v>514</v>
      </c>
    </row>
    <row r="25" spans="1:2" x14ac:dyDescent="0.25">
      <c r="A25" s="23" t="s">
        <v>292</v>
      </c>
      <c r="B25" s="23" t="s">
        <v>515</v>
      </c>
    </row>
    <row r="26" spans="1:2" x14ac:dyDescent="0.25">
      <c r="A26" s="23" t="s">
        <v>302</v>
      </c>
      <c r="B26" s="23" t="s">
        <v>516</v>
      </c>
    </row>
    <row r="27" spans="1:2" x14ac:dyDescent="0.25">
      <c r="A27" s="23" t="s">
        <v>490</v>
      </c>
      <c r="B27" s="23" t="s">
        <v>724</v>
      </c>
    </row>
    <row r="28" spans="1:2" x14ac:dyDescent="0.25">
      <c r="A28" s="23" t="s">
        <v>720</v>
      </c>
      <c r="B28" s="23" t="s">
        <v>725</v>
      </c>
    </row>
    <row r="30" spans="1:2" x14ac:dyDescent="0.25">
      <c r="A30" s="23" t="s">
        <v>698</v>
      </c>
    </row>
    <row r="31" spans="1:2" x14ac:dyDescent="0.25">
      <c r="A31" s="23" t="s">
        <v>364</v>
      </c>
      <c r="B31" s="23" t="s">
        <v>726</v>
      </c>
    </row>
    <row r="32" spans="1:2" x14ac:dyDescent="0.25">
      <c r="A32" s="23" t="s">
        <v>363</v>
      </c>
      <c r="B32" s="23" t="s">
        <v>727</v>
      </c>
    </row>
    <row r="33" spans="1:2" x14ac:dyDescent="0.25">
      <c r="A33" s="23" t="s">
        <v>361</v>
      </c>
    </row>
    <row r="34" spans="1:2" x14ac:dyDescent="0.25">
      <c r="A34" s="23" t="s">
        <v>362</v>
      </c>
    </row>
    <row r="35" spans="1:2" x14ac:dyDescent="0.25">
      <c r="B35" s="23" t="s">
        <v>467</v>
      </c>
    </row>
    <row r="36" spans="1:2" x14ac:dyDescent="0.25">
      <c r="A36" s="23" t="s">
        <v>345</v>
      </c>
    </row>
    <row r="37" spans="1:2" x14ac:dyDescent="0.25">
      <c r="A37" s="23" t="s">
        <v>344</v>
      </c>
    </row>
    <row r="38" spans="1:2" x14ac:dyDescent="0.25">
      <c r="B38" s="23" t="s">
        <v>465</v>
      </c>
    </row>
    <row r="40" spans="1:2" x14ac:dyDescent="0.25">
      <c r="A40" s="23" t="s">
        <v>692</v>
      </c>
    </row>
    <row r="41" spans="1:2" x14ac:dyDescent="0.25">
      <c r="A41" s="23" t="s">
        <v>272</v>
      </c>
      <c r="B41" s="23" t="s">
        <v>271</v>
      </c>
    </row>
    <row r="42" spans="1:2" x14ac:dyDescent="0.25">
      <c r="A42" s="23" t="s">
        <v>711</v>
      </c>
      <c r="B42" s="23" t="s">
        <v>712</v>
      </c>
    </row>
    <row r="43" spans="1:2" x14ac:dyDescent="0.25">
      <c r="A43" s="23" t="s">
        <v>273</v>
      </c>
      <c r="B43" s="23" t="s">
        <v>274</v>
      </c>
    </row>
    <row r="44" spans="1:2" x14ac:dyDescent="0.25">
      <c r="A44" s="23" t="s">
        <v>365</v>
      </c>
      <c r="B44" s="23" t="s">
        <v>545</v>
      </c>
    </row>
    <row r="45" spans="1:2" x14ac:dyDescent="0.25">
      <c r="A45" s="23" t="s">
        <v>317</v>
      </c>
      <c r="B45" s="23" t="s">
        <v>546</v>
      </c>
    </row>
    <row r="46" spans="1:2" x14ac:dyDescent="0.25">
      <c r="A46" s="23" t="s">
        <v>339</v>
      </c>
      <c r="B46" s="23" t="s">
        <v>547</v>
      </c>
    </row>
    <row r="47" spans="1:2" x14ac:dyDescent="0.25">
      <c r="A47" s="23" t="s">
        <v>484</v>
      </c>
      <c r="B47" s="23" t="s">
        <v>548</v>
      </c>
    </row>
    <row r="48" spans="1:2" x14ac:dyDescent="0.25">
      <c r="A48" s="23" t="s">
        <v>321</v>
      </c>
      <c r="B48" s="23" t="s">
        <v>549</v>
      </c>
    </row>
    <row r="50" spans="1:2" x14ac:dyDescent="0.25">
      <c r="A50" s="23" t="s">
        <v>691</v>
      </c>
    </row>
    <row r="51" spans="1:2" x14ac:dyDescent="0.25">
      <c r="A51" s="23" t="s">
        <v>365</v>
      </c>
      <c r="B51" s="23" t="s">
        <v>550</v>
      </c>
    </row>
    <row r="52" spans="1:2" x14ac:dyDescent="0.25">
      <c r="A52" s="23" t="s">
        <v>317</v>
      </c>
      <c r="B52" s="23" t="s">
        <v>551</v>
      </c>
    </row>
    <row r="53" spans="1:2" x14ac:dyDescent="0.25">
      <c r="A53" s="23" t="s">
        <v>339</v>
      </c>
      <c r="B53" s="23" t="s">
        <v>552</v>
      </c>
    </row>
    <row r="55" spans="1:2" x14ac:dyDescent="0.25">
      <c r="A55" s="23" t="s">
        <v>693</v>
      </c>
    </row>
    <row r="57" spans="1:2" x14ac:dyDescent="0.25">
      <c r="A57" s="23" t="s">
        <v>694</v>
      </c>
    </row>
    <row r="58" spans="1:2" x14ac:dyDescent="0.25">
      <c r="A58" s="23" t="s">
        <v>241</v>
      </c>
      <c r="B58" s="23" t="s">
        <v>242</v>
      </c>
    </row>
    <row r="60" spans="1:2" x14ac:dyDescent="0.25">
      <c r="A60" s="23" t="s">
        <v>695</v>
      </c>
    </row>
    <row r="61" spans="1:2" x14ac:dyDescent="0.25">
      <c r="A61" s="23" t="s">
        <v>103</v>
      </c>
      <c r="B61" s="23" t="s">
        <v>368</v>
      </c>
    </row>
    <row r="62" spans="1:2" x14ac:dyDescent="0.25">
      <c r="A62" s="23" t="s">
        <v>104</v>
      </c>
      <c r="B62" s="23" t="s">
        <v>369</v>
      </c>
    </row>
    <row r="63" spans="1:2" x14ac:dyDescent="0.25">
      <c r="A63" s="23" t="s">
        <v>105</v>
      </c>
      <c r="B63" s="23" t="s">
        <v>370</v>
      </c>
    </row>
    <row r="65" spans="1:2" x14ac:dyDescent="0.25">
      <c r="A65" s="23" t="s">
        <v>716</v>
      </c>
    </row>
    <row r="66" spans="1:2" x14ac:dyDescent="0.25">
      <c r="A66" s="23" t="s">
        <v>728</v>
      </c>
      <c r="B66" s="23" t="s">
        <v>717</v>
      </c>
    </row>
    <row r="67" spans="1:2" x14ac:dyDescent="0.25">
      <c r="A67" s="23" t="s">
        <v>339</v>
      </c>
      <c r="B67" s="23" t="s">
        <v>719</v>
      </c>
    </row>
    <row r="69" spans="1:2" x14ac:dyDescent="0.25">
      <c r="A69" s="23" t="s">
        <v>701</v>
      </c>
    </row>
    <row r="70" spans="1:2" x14ac:dyDescent="0.25">
      <c r="A70" s="23" t="s">
        <v>102</v>
      </c>
      <c r="B70" s="23" t="s">
        <v>227</v>
      </c>
    </row>
    <row r="72" spans="1:2" x14ac:dyDescent="0.25">
      <c r="A72" s="23" t="s">
        <v>700</v>
      </c>
    </row>
    <row r="73" spans="1:2" x14ac:dyDescent="0.25">
      <c r="A73" s="23" t="s">
        <v>337</v>
      </c>
      <c r="B73" s="23" t="s">
        <v>338</v>
      </c>
    </row>
    <row r="75" spans="1:2" x14ac:dyDescent="0.25">
      <c r="A75" s="23" t="s">
        <v>702</v>
      </c>
    </row>
    <row r="76" spans="1:2" x14ac:dyDescent="0.25">
      <c r="A76" s="23" t="s">
        <v>246</v>
      </c>
      <c r="B76" s="23" t="s">
        <v>470</v>
      </c>
    </row>
    <row r="77" spans="1:2" x14ac:dyDescent="0.25">
      <c r="A77" s="23" t="s">
        <v>488</v>
      </c>
      <c r="B77" s="23" t="s">
        <v>470</v>
      </c>
    </row>
    <row r="78" spans="1:2" x14ac:dyDescent="0.25">
      <c r="B78" s="23" t="s">
        <v>706</v>
      </c>
    </row>
    <row r="80" spans="1:2" x14ac:dyDescent="0.25">
      <c r="A80" s="23" t="s">
        <v>703</v>
      </c>
    </row>
    <row r="81" spans="1:2" x14ac:dyDescent="0.25">
      <c r="A81" s="23" t="s">
        <v>365</v>
      </c>
      <c r="B81" s="23" t="s">
        <v>453</v>
      </c>
    </row>
    <row r="83" spans="1:2" x14ac:dyDescent="0.25">
      <c r="A83" s="23" t="s">
        <v>705</v>
      </c>
    </row>
    <row r="84" spans="1:2" x14ac:dyDescent="0.25">
      <c r="A84" s="23" t="s">
        <v>352</v>
      </c>
      <c r="B84" s="23" t="s">
        <v>353</v>
      </c>
    </row>
    <row r="86" spans="1:2" x14ac:dyDescent="0.25">
      <c r="A86" s="23" t="s">
        <v>704</v>
      </c>
    </row>
    <row r="87" spans="1:2" x14ac:dyDescent="0.25">
      <c r="A87" s="23" t="s">
        <v>304</v>
      </c>
      <c r="B87" s="23" t="s">
        <v>230</v>
      </c>
    </row>
    <row r="89" spans="1:2" x14ac:dyDescent="0.25">
      <c r="A89" s="23" t="s">
        <v>699</v>
      </c>
    </row>
    <row r="90" spans="1:2" x14ac:dyDescent="0.25">
      <c r="A90" s="23" t="s">
        <v>110</v>
      </c>
      <c r="B90" s="23" t="s">
        <v>371</v>
      </c>
    </row>
    <row r="91" spans="1:2" x14ac:dyDescent="0.25">
      <c r="A91" s="23" t="s">
        <v>328</v>
      </c>
      <c r="B91" s="23" t="s">
        <v>372</v>
      </c>
    </row>
    <row r="92" spans="1:2" x14ac:dyDescent="0.25">
      <c r="A92" s="23" t="s">
        <v>317</v>
      </c>
      <c r="B92" s="23" t="s">
        <v>320</v>
      </c>
    </row>
    <row r="93" spans="1:2" x14ac:dyDescent="0.25">
      <c r="A93" s="23" t="s">
        <v>321</v>
      </c>
      <c r="B93" s="23" t="s">
        <v>322</v>
      </c>
    </row>
    <row r="95" spans="1:2" x14ac:dyDescent="0.25">
      <c r="A95" s="23" t="s">
        <v>696</v>
      </c>
    </row>
    <row r="96" spans="1:2" x14ac:dyDescent="0.25">
      <c r="A96" s="23" t="s">
        <v>335</v>
      </c>
      <c r="B96" s="23" t="s">
        <v>336</v>
      </c>
    </row>
    <row r="97" spans="1:2" x14ac:dyDescent="0.25">
      <c r="A97" s="23" t="s">
        <v>525</v>
      </c>
      <c r="B97" s="23" t="s">
        <v>527</v>
      </c>
    </row>
    <row r="98" spans="1:2" x14ac:dyDescent="0.25">
      <c r="A98" s="23" t="s">
        <v>111</v>
      </c>
      <c r="B98" s="23" t="s">
        <v>116</v>
      </c>
    </row>
    <row r="99" spans="1:2" x14ac:dyDescent="0.25">
      <c r="A99" s="23" t="s">
        <v>270</v>
      </c>
      <c r="B99" s="23" t="s">
        <v>528</v>
      </c>
    </row>
    <row r="100" spans="1:2" x14ac:dyDescent="0.25">
      <c r="A100" s="23" t="s">
        <v>290</v>
      </c>
      <c r="B100" s="23" t="s">
        <v>529</v>
      </c>
    </row>
    <row r="101" spans="1:2" x14ac:dyDescent="0.25">
      <c r="A101" s="23" t="s">
        <v>349</v>
      </c>
    </row>
    <row r="102" spans="1:2" x14ac:dyDescent="0.25">
      <c r="B102" s="23" t="s">
        <v>529</v>
      </c>
    </row>
    <row r="103" spans="1:2" x14ac:dyDescent="0.25">
      <c r="A103" s="23" t="s">
        <v>114</v>
      </c>
      <c r="B103" s="23" t="s">
        <v>503</v>
      </c>
    </row>
    <row r="104" spans="1:2" x14ac:dyDescent="0.25">
      <c r="A104" s="23" t="s">
        <v>276</v>
      </c>
      <c r="B104" s="23" t="s">
        <v>501</v>
      </c>
    </row>
    <row r="105" spans="1:2" x14ac:dyDescent="0.25">
      <c r="A105" s="23" t="s">
        <v>108</v>
      </c>
      <c r="B105" s="23" t="s">
        <v>375</v>
      </c>
    </row>
    <row r="106" spans="1:2" x14ac:dyDescent="0.25">
      <c r="A106" s="23" t="s">
        <v>106</v>
      </c>
      <c r="B106" s="23" t="s">
        <v>231</v>
      </c>
    </row>
    <row r="107" spans="1:2" x14ac:dyDescent="0.25">
      <c r="A107" s="23" t="s">
        <v>107</v>
      </c>
      <c r="B107" s="23" t="s">
        <v>232</v>
      </c>
    </row>
    <row r="108" spans="1:2" x14ac:dyDescent="0.25">
      <c r="A108" s="23" t="s">
        <v>708</v>
      </c>
      <c r="B108" s="23" t="s">
        <v>532</v>
      </c>
    </row>
    <row r="109" spans="1:2" x14ac:dyDescent="0.25">
      <c r="A109" s="23" t="s">
        <v>709</v>
      </c>
      <c r="B109" s="23" t="s">
        <v>533</v>
      </c>
    </row>
    <row r="110" spans="1:2" x14ac:dyDescent="0.25">
      <c r="A110" s="23" t="s">
        <v>103</v>
      </c>
      <c r="B110" s="23" t="s">
        <v>534</v>
      </c>
    </row>
    <row r="111" spans="1:2" x14ac:dyDescent="0.25">
      <c r="A111" s="23" t="s">
        <v>104</v>
      </c>
      <c r="B111" s="23" t="s">
        <v>535</v>
      </c>
    </row>
    <row r="112" spans="1:2" x14ac:dyDescent="0.25">
      <c r="A112" s="23" t="s">
        <v>105</v>
      </c>
      <c r="B112" s="23" t="s">
        <v>536</v>
      </c>
    </row>
    <row r="113" spans="1:2" x14ac:dyDescent="0.25">
      <c r="A113" s="23" t="s">
        <v>710</v>
      </c>
      <c r="B113" s="23" t="s">
        <v>537</v>
      </c>
    </row>
    <row r="114" spans="1:2" x14ac:dyDescent="0.25">
      <c r="A114" s="23" t="s">
        <v>255</v>
      </c>
      <c r="B114" s="23" t="s">
        <v>538</v>
      </c>
    </row>
    <row r="115" spans="1:2" x14ac:dyDescent="0.25">
      <c r="A115" s="23" t="s">
        <v>256</v>
      </c>
      <c r="B115" s="23" t="s">
        <v>539</v>
      </c>
    </row>
    <row r="116" spans="1:2" x14ac:dyDescent="0.25">
      <c r="A116" s="23" t="s">
        <v>257</v>
      </c>
      <c r="B116" s="23" t="s">
        <v>540</v>
      </c>
    </row>
    <row r="117" spans="1:2" x14ac:dyDescent="0.25">
      <c r="A117" s="23" t="s">
        <v>258</v>
      </c>
      <c r="B117" s="23" t="s">
        <v>541</v>
      </c>
    </row>
    <row r="118" spans="1:2" x14ac:dyDescent="0.25">
      <c r="A118" s="23" t="s">
        <v>259</v>
      </c>
      <c r="B118" s="23" t="s">
        <v>542</v>
      </c>
    </row>
    <row r="119" spans="1:2" x14ac:dyDescent="0.25">
      <c r="A119" s="23" t="s">
        <v>260</v>
      </c>
      <c r="B119" s="23" t="s">
        <v>543</v>
      </c>
    </row>
    <row r="120" spans="1:2" x14ac:dyDescent="0.25">
      <c r="A120" s="23" t="s">
        <v>261</v>
      </c>
      <c r="B120" s="23" t="s">
        <v>544</v>
      </c>
    </row>
  </sheetData>
  <conditionalFormatting sqref="A1:A1048576">
    <cfRule type="containsText" dxfId="14" priority="2" operator="containsText" text="_">
      <formula>NOT(ISERROR(SEARCH("_",A1)))</formula>
    </cfRule>
    <cfRule type="containsText" dxfId="13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1A494-B745-4805-9BEE-4D6A8C49F8DD}">
  <sheetPr codeName="Sheet5">
    <tabColor theme="7"/>
  </sheetPr>
  <dimension ref="A1:B142"/>
  <sheetViews>
    <sheetView workbookViewId="0">
      <selection activeCell="B3" sqref="B3"/>
    </sheetView>
  </sheetViews>
  <sheetFormatPr defaultColWidth="8.77734375" defaultRowHeight="12" x14ac:dyDescent="0.25"/>
  <cols>
    <col min="1" max="1" width="10.77734375" style="23" bestFit="1" customWidth="1"/>
    <col min="2" max="2" width="24.5546875" style="23" customWidth="1"/>
    <col min="3" max="16384" width="8.77734375" style="23"/>
  </cols>
  <sheetData>
    <row r="1" spans="1:2" x14ac:dyDescent="0.25">
      <c r="A1" s="23" t="s">
        <v>682</v>
      </c>
      <c r="B1" s="23" t="s">
        <v>721</v>
      </c>
    </row>
    <row r="2" spans="1:2" x14ac:dyDescent="0.25">
      <c r="A2" s="23" t="s">
        <v>683</v>
      </c>
      <c r="B2" s="23" t="s">
        <v>722</v>
      </c>
    </row>
    <row r="3" spans="1:2" x14ac:dyDescent="0.25">
      <c r="A3" s="23" t="s">
        <v>684</v>
      </c>
      <c r="B3" s="23" t="s">
        <v>723</v>
      </c>
    </row>
    <row r="4" spans="1:2" x14ac:dyDescent="0.25">
      <c r="A4" s="23" t="s">
        <v>685</v>
      </c>
    </row>
    <row r="5" spans="1:2" x14ac:dyDescent="0.25">
      <c r="A5" s="23" t="s">
        <v>686</v>
      </c>
    </row>
    <row r="6" spans="1:2" x14ac:dyDescent="0.25">
      <c r="B6" s="23" t="s">
        <v>373</v>
      </c>
    </row>
    <row r="7" spans="1:2" x14ac:dyDescent="0.25">
      <c r="A7" s="23" t="s">
        <v>687</v>
      </c>
    </row>
    <row r="8" spans="1:2" x14ac:dyDescent="0.25">
      <c r="A8" s="23" t="s">
        <v>688</v>
      </c>
    </row>
    <row r="9" spans="1:2" x14ac:dyDescent="0.25">
      <c r="B9" s="23" t="s">
        <v>374</v>
      </c>
    </row>
    <row r="10" spans="1:2" x14ac:dyDescent="0.25">
      <c r="A10" s="23" t="s">
        <v>689</v>
      </c>
      <c r="B10" s="23" t="s">
        <v>502</v>
      </c>
    </row>
    <row r="11" spans="1:2" x14ac:dyDescent="0.25">
      <c r="A11" s="23" t="s">
        <v>553</v>
      </c>
    </row>
    <row r="12" spans="1:2" x14ac:dyDescent="0.25">
      <c r="A12" s="23" t="s">
        <v>554</v>
      </c>
    </row>
    <row r="13" spans="1:2" x14ac:dyDescent="0.25">
      <c r="A13" s="23" t="s">
        <v>555</v>
      </c>
    </row>
    <row r="14" spans="1:2" x14ac:dyDescent="0.25">
      <c r="A14" s="23" t="s">
        <v>556</v>
      </c>
    </row>
    <row r="15" spans="1:2" x14ac:dyDescent="0.25">
      <c r="A15" s="23" t="s">
        <v>557</v>
      </c>
    </row>
    <row r="16" spans="1:2" x14ac:dyDescent="0.25">
      <c r="A16" s="23" t="s">
        <v>558</v>
      </c>
    </row>
    <row r="17" spans="1:1" x14ac:dyDescent="0.25">
      <c r="A17" s="23" t="s">
        <v>559</v>
      </c>
    </row>
    <row r="18" spans="1:1" x14ac:dyDescent="0.25">
      <c r="A18" s="23" t="s">
        <v>560</v>
      </c>
    </row>
    <row r="19" spans="1:1" x14ac:dyDescent="0.25">
      <c r="A19" s="23" t="s">
        <v>561</v>
      </c>
    </row>
    <row r="20" spans="1:1" x14ac:dyDescent="0.25">
      <c r="A20" s="23" t="s">
        <v>562</v>
      </c>
    </row>
    <row r="21" spans="1:1" x14ac:dyDescent="0.25">
      <c r="A21" s="23" t="s">
        <v>563</v>
      </c>
    </row>
    <row r="22" spans="1:1" x14ac:dyDescent="0.25">
      <c r="A22" s="23" t="s">
        <v>564</v>
      </c>
    </row>
    <row r="23" spans="1:1" x14ac:dyDescent="0.25">
      <c r="A23" s="23" t="s">
        <v>565</v>
      </c>
    </row>
    <row r="24" spans="1:1" x14ac:dyDescent="0.25">
      <c r="A24" s="23" t="s">
        <v>566</v>
      </c>
    </row>
    <row r="25" spans="1:1" x14ac:dyDescent="0.25">
      <c r="A25" s="23" t="s">
        <v>567</v>
      </c>
    </row>
    <row r="26" spans="1:1" x14ac:dyDescent="0.25">
      <c r="A26" s="23" t="s">
        <v>568</v>
      </c>
    </row>
    <row r="27" spans="1:1" x14ac:dyDescent="0.25">
      <c r="A27" s="23" t="s">
        <v>569</v>
      </c>
    </row>
    <row r="28" spans="1:1" x14ac:dyDescent="0.25">
      <c r="A28" s="23" t="s">
        <v>570</v>
      </c>
    </row>
    <row r="29" spans="1:1" x14ac:dyDescent="0.25">
      <c r="A29" s="23" t="s">
        <v>571</v>
      </c>
    </row>
    <row r="30" spans="1:1" x14ac:dyDescent="0.25">
      <c r="A30" s="23" t="s">
        <v>572</v>
      </c>
    </row>
    <row r="31" spans="1:1" x14ac:dyDescent="0.25">
      <c r="A31" s="23" t="s">
        <v>573</v>
      </c>
    </row>
    <row r="32" spans="1:1" x14ac:dyDescent="0.25">
      <c r="A32" s="23" t="s">
        <v>574</v>
      </c>
    </row>
    <row r="33" spans="1:1" x14ac:dyDescent="0.25">
      <c r="A33" s="23" t="s">
        <v>575</v>
      </c>
    </row>
    <row r="34" spans="1:1" x14ac:dyDescent="0.25">
      <c r="A34" s="23" t="s">
        <v>576</v>
      </c>
    </row>
    <row r="35" spans="1:1" x14ac:dyDescent="0.25">
      <c r="A35" s="23" t="s">
        <v>577</v>
      </c>
    </row>
    <row r="36" spans="1:1" x14ac:dyDescent="0.25">
      <c r="A36" s="23" t="s">
        <v>578</v>
      </c>
    </row>
    <row r="37" spans="1:1" x14ac:dyDescent="0.25">
      <c r="A37" s="23" t="s">
        <v>579</v>
      </c>
    </row>
    <row r="38" spans="1:1" x14ac:dyDescent="0.25">
      <c r="A38" s="23" t="s">
        <v>580</v>
      </c>
    </row>
    <row r="39" spans="1:1" x14ac:dyDescent="0.25">
      <c r="A39" s="23" t="s">
        <v>581</v>
      </c>
    </row>
    <row r="40" spans="1:1" x14ac:dyDescent="0.25">
      <c r="A40" s="23" t="s">
        <v>582</v>
      </c>
    </row>
    <row r="41" spans="1:1" x14ac:dyDescent="0.25">
      <c r="A41" s="23" t="s">
        <v>583</v>
      </c>
    </row>
    <row r="42" spans="1:1" x14ac:dyDescent="0.25">
      <c r="A42" s="23" t="s">
        <v>584</v>
      </c>
    </row>
    <row r="43" spans="1:1" x14ac:dyDescent="0.25">
      <c r="A43" s="23" t="s">
        <v>585</v>
      </c>
    </row>
    <row r="44" spans="1:1" x14ac:dyDescent="0.25">
      <c r="A44" s="23" t="s">
        <v>586</v>
      </c>
    </row>
    <row r="45" spans="1:1" x14ac:dyDescent="0.25">
      <c r="A45" s="23" t="s">
        <v>587</v>
      </c>
    </row>
    <row r="46" spans="1:1" x14ac:dyDescent="0.25">
      <c r="A46" s="23" t="s">
        <v>588</v>
      </c>
    </row>
    <row r="47" spans="1:1" x14ac:dyDescent="0.25">
      <c r="A47" s="23" t="s">
        <v>589</v>
      </c>
    </row>
    <row r="48" spans="1:1" x14ac:dyDescent="0.25">
      <c r="A48" s="23" t="s">
        <v>589</v>
      </c>
    </row>
    <row r="49" spans="1:2" x14ac:dyDescent="0.25">
      <c r="B49" s="23" t="s">
        <v>714</v>
      </c>
    </row>
    <row r="50" spans="1:2" x14ac:dyDescent="0.25">
      <c r="A50" s="23" t="s">
        <v>590</v>
      </c>
    </row>
    <row r="51" spans="1:2" x14ac:dyDescent="0.25">
      <c r="A51" s="23" t="s">
        <v>591</v>
      </c>
    </row>
    <row r="52" spans="1:2" x14ac:dyDescent="0.25">
      <c r="A52" s="23" t="s">
        <v>592</v>
      </c>
    </row>
    <row r="53" spans="1:2" x14ac:dyDescent="0.25">
      <c r="A53" s="23" t="s">
        <v>593</v>
      </c>
    </row>
    <row r="54" spans="1:2" x14ac:dyDescent="0.25">
      <c r="A54" s="23" t="s">
        <v>594</v>
      </c>
    </row>
    <row r="55" spans="1:2" x14ac:dyDescent="0.25">
      <c r="A55" s="23" t="s">
        <v>595</v>
      </c>
    </row>
    <row r="56" spans="1:2" x14ac:dyDescent="0.25">
      <c r="A56" s="23" t="s">
        <v>596</v>
      </c>
    </row>
    <row r="57" spans="1:2" x14ac:dyDescent="0.25">
      <c r="A57" s="23" t="s">
        <v>597</v>
      </c>
    </row>
    <row r="58" spans="1:2" x14ac:dyDescent="0.25">
      <c r="A58" s="23" t="s">
        <v>598</v>
      </c>
    </row>
    <row r="59" spans="1:2" x14ac:dyDescent="0.25">
      <c r="A59" s="23" t="s">
        <v>599</v>
      </c>
    </row>
    <row r="60" spans="1:2" x14ac:dyDescent="0.25">
      <c r="A60" s="23" t="s">
        <v>600</v>
      </c>
    </row>
    <row r="61" spans="1:2" x14ac:dyDescent="0.25">
      <c r="A61" s="23" t="s">
        <v>601</v>
      </c>
    </row>
    <row r="62" spans="1:2" x14ac:dyDescent="0.25">
      <c r="A62" s="23" t="s">
        <v>602</v>
      </c>
    </row>
    <row r="63" spans="1:2" x14ac:dyDescent="0.25">
      <c r="A63" s="23" t="s">
        <v>603</v>
      </c>
    </row>
    <row r="64" spans="1:2" x14ac:dyDescent="0.25">
      <c r="A64" s="23" t="s">
        <v>604</v>
      </c>
    </row>
    <row r="65" spans="1:1" x14ac:dyDescent="0.25">
      <c r="A65" s="23" t="s">
        <v>605</v>
      </c>
    </row>
    <row r="66" spans="1:1" x14ac:dyDescent="0.25">
      <c r="A66" s="23" t="s">
        <v>606</v>
      </c>
    </row>
    <row r="67" spans="1:1" x14ac:dyDescent="0.25">
      <c r="A67" s="23" t="s">
        <v>607</v>
      </c>
    </row>
    <row r="68" spans="1:1" x14ac:dyDescent="0.25">
      <c r="A68" s="23" t="s">
        <v>608</v>
      </c>
    </row>
    <row r="69" spans="1:1" x14ac:dyDescent="0.25">
      <c r="A69" s="23" t="s">
        <v>609</v>
      </c>
    </row>
    <row r="70" spans="1:1" x14ac:dyDescent="0.25">
      <c r="A70" s="23" t="s">
        <v>610</v>
      </c>
    </row>
    <row r="71" spans="1:1" x14ac:dyDescent="0.25">
      <c r="A71" s="23" t="s">
        <v>611</v>
      </c>
    </row>
    <row r="72" spans="1:1" x14ac:dyDescent="0.25">
      <c r="A72" s="23" t="s">
        <v>612</v>
      </c>
    </row>
    <row r="73" spans="1:1" x14ac:dyDescent="0.25">
      <c r="A73" s="23" t="s">
        <v>613</v>
      </c>
    </row>
    <row r="74" spans="1:1" x14ac:dyDescent="0.25">
      <c r="A74" s="23" t="s">
        <v>614</v>
      </c>
    </row>
    <row r="75" spans="1:1" x14ac:dyDescent="0.25">
      <c r="A75" s="23" t="s">
        <v>615</v>
      </c>
    </row>
    <row r="76" spans="1:1" x14ac:dyDescent="0.25">
      <c r="A76" s="23" t="s">
        <v>616</v>
      </c>
    </row>
    <row r="77" spans="1:1" x14ac:dyDescent="0.25">
      <c r="A77" s="23" t="s">
        <v>617</v>
      </c>
    </row>
    <row r="78" spans="1:1" x14ac:dyDescent="0.25">
      <c r="A78" s="23" t="s">
        <v>618</v>
      </c>
    </row>
    <row r="79" spans="1:1" x14ac:dyDescent="0.25">
      <c r="A79" s="23" t="s">
        <v>619</v>
      </c>
    </row>
    <row r="80" spans="1:1" x14ac:dyDescent="0.25">
      <c r="A80" s="23" t="s">
        <v>620</v>
      </c>
    </row>
    <row r="81" spans="1:1" x14ac:dyDescent="0.25">
      <c r="A81" s="23" t="s">
        <v>621</v>
      </c>
    </row>
    <row r="82" spans="1:1" x14ac:dyDescent="0.25">
      <c r="A82" s="23" t="s">
        <v>622</v>
      </c>
    </row>
    <row r="83" spans="1:1" x14ac:dyDescent="0.25">
      <c r="A83" s="23" t="s">
        <v>623</v>
      </c>
    </row>
    <row r="84" spans="1:1" x14ac:dyDescent="0.25">
      <c r="A84" s="23" t="s">
        <v>624</v>
      </c>
    </row>
    <row r="85" spans="1:1" x14ac:dyDescent="0.25">
      <c r="A85" s="23" t="s">
        <v>625</v>
      </c>
    </row>
    <row r="86" spans="1:1" x14ac:dyDescent="0.25">
      <c r="A86" s="23" t="s">
        <v>626</v>
      </c>
    </row>
    <row r="87" spans="1:1" x14ac:dyDescent="0.25">
      <c r="A87" s="23" t="s">
        <v>627</v>
      </c>
    </row>
    <row r="88" spans="1:1" x14ac:dyDescent="0.25">
      <c r="A88" s="23" t="s">
        <v>628</v>
      </c>
    </row>
    <row r="89" spans="1:1" x14ac:dyDescent="0.25">
      <c r="A89" s="23" t="s">
        <v>629</v>
      </c>
    </row>
    <row r="90" spans="1:1" x14ac:dyDescent="0.25">
      <c r="A90" s="23" t="s">
        <v>630</v>
      </c>
    </row>
    <row r="91" spans="1:1" x14ac:dyDescent="0.25">
      <c r="A91" s="23" t="s">
        <v>631</v>
      </c>
    </row>
    <row r="92" spans="1:1" x14ac:dyDescent="0.25">
      <c r="A92" s="23" t="s">
        <v>632</v>
      </c>
    </row>
    <row r="93" spans="1:1" x14ac:dyDescent="0.25">
      <c r="A93" s="23" t="s">
        <v>633</v>
      </c>
    </row>
    <row r="94" spans="1:1" x14ac:dyDescent="0.25">
      <c r="A94" s="23" t="s">
        <v>634</v>
      </c>
    </row>
    <row r="95" spans="1:1" x14ac:dyDescent="0.25">
      <c r="A95" s="23" t="s">
        <v>635</v>
      </c>
    </row>
    <row r="96" spans="1:1" x14ac:dyDescent="0.25">
      <c r="A96" s="23" t="s">
        <v>636</v>
      </c>
    </row>
    <row r="97" spans="1:1" x14ac:dyDescent="0.25">
      <c r="A97" s="23" t="s">
        <v>637</v>
      </c>
    </row>
    <row r="98" spans="1:1" x14ac:dyDescent="0.25">
      <c r="A98" s="23" t="s">
        <v>638</v>
      </c>
    </row>
    <row r="99" spans="1:1" x14ac:dyDescent="0.25">
      <c r="A99" s="23" t="s">
        <v>639</v>
      </c>
    </row>
    <row r="100" spans="1:1" x14ac:dyDescent="0.25">
      <c r="A100" s="23" t="s">
        <v>640</v>
      </c>
    </row>
    <row r="101" spans="1:1" x14ac:dyDescent="0.25">
      <c r="A101" s="23" t="s">
        <v>641</v>
      </c>
    </row>
    <row r="102" spans="1:1" x14ac:dyDescent="0.25">
      <c r="A102" s="23" t="s">
        <v>642</v>
      </c>
    </row>
    <row r="103" spans="1:1" x14ac:dyDescent="0.25">
      <c r="A103" s="23" t="s">
        <v>643</v>
      </c>
    </row>
    <row r="104" spans="1:1" x14ac:dyDescent="0.25">
      <c r="A104" s="23" t="s">
        <v>644</v>
      </c>
    </row>
    <row r="105" spans="1:1" x14ac:dyDescent="0.25">
      <c r="A105" s="23" t="s">
        <v>645</v>
      </c>
    </row>
    <row r="106" spans="1:1" x14ac:dyDescent="0.25">
      <c r="A106" s="23" t="s">
        <v>646</v>
      </c>
    </row>
    <row r="107" spans="1:1" x14ac:dyDescent="0.25">
      <c r="A107" s="23" t="s">
        <v>647</v>
      </c>
    </row>
    <row r="108" spans="1:1" x14ac:dyDescent="0.25">
      <c r="A108" s="23" t="s">
        <v>648</v>
      </c>
    </row>
    <row r="109" spans="1:1" x14ac:dyDescent="0.25">
      <c r="A109" s="23" t="s">
        <v>649</v>
      </c>
    </row>
    <row r="110" spans="1:1" x14ac:dyDescent="0.25">
      <c r="A110" s="23" t="s">
        <v>650</v>
      </c>
    </row>
    <row r="111" spans="1:1" x14ac:dyDescent="0.25">
      <c r="A111" s="23" t="s">
        <v>651</v>
      </c>
    </row>
    <row r="112" spans="1:1" x14ac:dyDescent="0.25">
      <c r="A112" s="23" t="s">
        <v>652</v>
      </c>
    </row>
    <row r="113" spans="1:1" x14ac:dyDescent="0.25">
      <c r="A113" s="23" t="s">
        <v>653</v>
      </c>
    </row>
    <row r="114" spans="1:1" x14ac:dyDescent="0.25">
      <c r="A114" s="23" t="s">
        <v>654</v>
      </c>
    </row>
    <row r="115" spans="1:1" x14ac:dyDescent="0.25">
      <c r="A115" s="23" t="s">
        <v>655</v>
      </c>
    </row>
    <row r="116" spans="1:1" x14ac:dyDescent="0.25">
      <c r="A116" s="23" t="s">
        <v>656</v>
      </c>
    </row>
    <row r="117" spans="1:1" x14ac:dyDescent="0.25">
      <c r="A117" s="23" t="s">
        <v>657</v>
      </c>
    </row>
    <row r="118" spans="1:1" x14ac:dyDescent="0.25">
      <c r="A118" s="23" t="s">
        <v>658</v>
      </c>
    </row>
    <row r="119" spans="1:1" x14ac:dyDescent="0.25">
      <c r="A119" s="23" t="s">
        <v>659</v>
      </c>
    </row>
    <row r="120" spans="1:1" x14ac:dyDescent="0.25">
      <c r="A120" s="23" t="s">
        <v>660</v>
      </c>
    </row>
    <row r="121" spans="1:1" x14ac:dyDescent="0.25">
      <c r="A121" s="23" t="s">
        <v>661</v>
      </c>
    </row>
    <row r="122" spans="1:1" x14ac:dyDescent="0.25">
      <c r="A122" s="23" t="s">
        <v>662</v>
      </c>
    </row>
    <row r="123" spans="1:1" x14ac:dyDescent="0.25">
      <c r="A123" s="23" t="s">
        <v>663</v>
      </c>
    </row>
    <row r="124" spans="1:1" x14ac:dyDescent="0.25">
      <c r="A124" s="23" t="s">
        <v>664</v>
      </c>
    </row>
    <row r="125" spans="1:1" x14ac:dyDescent="0.25">
      <c r="A125" s="23" t="s">
        <v>665</v>
      </c>
    </row>
    <row r="126" spans="1:1" x14ac:dyDescent="0.25">
      <c r="A126" s="23" t="s">
        <v>666</v>
      </c>
    </row>
    <row r="127" spans="1:1" x14ac:dyDescent="0.25">
      <c r="A127" s="23" t="s">
        <v>667</v>
      </c>
    </row>
    <row r="128" spans="1:1" x14ac:dyDescent="0.25">
      <c r="A128" s="23" t="s">
        <v>668</v>
      </c>
    </row>
    <row r="129" spans="1:2" x14ac:dyDescent="0.25">
      <c r="A129" s="23" t="s">
        <v>669</v>
      </c>
    </row>
    <row r="130" spans="1:2" x14ac:dyDescent="0.25">
      <c r="A130" s="23" t="s">
        <v>670</v>
      </c>
    </row>
    <row r="131" spans="1:2" x14ac:dyDescent="0.25">
      <c r="A131" s="23" t="s">
        <v>671</v>
      </c>
    </row>
    <row r="132" spans="1:2" x14ac:dyDescent="0.25">
      <c r="A132" s="23" t="s">
        <v>672</v>
      </c>
    </row>
    <row r="133" spans="1:2" x14ac:dyDescent="0.25">
      <c r="A133" s="23" t="s">
        <v>673</v>
      </c>
    </row>
    <row r="134" spans="1:2" x14ac:dyDescent="0.25">
      <c r="A134" s="23" t="s">
        <v>674</v>
      </c>
    </row>
    <row r="135" spans="1:2" x14ac:dyDescent="0.25">
      <c r="A135" s="23" t="s">
        <v>675</v>
      </c>
    </row>
    <row r="136" spans="1:2" x14ac:dyDescent="0.25">
      <c r="A136" s="23" t="s">
        <v>676</v>
      </c>
    </row>
    <row r="137" spans="1:2" x14ac:dyDescent="0.25">
      <c r="A137" s="23" t="s">
        <v>677</v>
      </c>
    </row>
    <row r="138" spans="1:2" x14ac:dyDescent="0.25">
      <c r="A138" s="23" t="s">
        <v>678</v>
      </c>
    </row>
    <row r="139" spans="1:2" x14ac:dyDescent="0.25">
      <c r="A139" s="23" t="s">
        <v>679</v>
      </c>
    </row>
    <row r="140" spans="1:2" x14ac:dyDescent="0.25">
      <c r="A140" s="23" t="s">
        <v>680</v>
      </c>
    </row>
    <row r="141" spans="1:2" x14ac:dyDescent="0.25">
      <c r="A141" s="23" t="s">
        <v>681</v>
      </c>
    </row>
    <row r="142" spans="1:2" x14ac:dyDescent="0.25">
      <c r="B142" s="23" t="s">
        <v>715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1_win</vt:lpstr>
      <vt:lpstr>1_app</vt:lpstr>
      <vt:lpstr>var.ini</vt:lpstr>
      <vt:lpstr>top.ini</vt:lpstr>
      <vt:lpstr>3_top</vt:lpstr>
      <vt:lpstr>2_win</vt:lpstr>
      <vt:lpstr>3_win</vt:lpstr>
      <vt:lpstr>2_app</vt:lpstr>
      <vt:lpstr>3_app</vt:lpstr>
      <vt:lpstr>3_sap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2020-05-19T15:43:26Z</cp:lastPrinted>
  <dcterms:created xsi:type="dcterms:W3CDTF">2019-10-14T20:28:49Z</dcterms:created>
  <dcterms:modified xsi:type="dcterms:W3CDTF">2020-05-19T17:28:30Z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