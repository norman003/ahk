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NT\Cloud\OneDrive\Ap\Apps\Ahk\App_auto\"/>
    </mc:Choice>
  </mc:AlternateContent>
  <xr:revisionPtr revIDLastSave="0" documentId="13_ncr:1_{FE9A8564-6775-4222-8AC4-AC81FE28E40A}" xr6:coauthVersionLast="46" xr6:coauthVersionMax="46" xr10:uidLastSave="{00000000-0000-0000-0000-000000000000}"/>
  <bookViews>
    <workbookView xWindow="876" yWindow="300" windowWidth="21288" windowHeight="12204" tabRatio="901" activeTab="11" xr2:uid="{00000000-000D-0000-FFFF-FFFF00000000}"/>
  </bookViews>
  <sheets>
    <sheet name="3_top.ini" sheetId="80" r:id="rId1"/>
    <sheet name="3_top" sheetId="67" r:id="rId2"/>
    <sheet name="1_dev" sheetId="69" r:id="rId3"/>
    <sheet name="3_win" sheetId="89" r:id="rId4"/>
    <sheet name="4_win_adm" sheetId="66" r:id="rId5"/>
    <sheet name="3_microsoft" sheetId="82" r:id="rId6"/>
    <sheet name="3_coding" sheetId="81" r:id="rId7"/>
    <sheet name="3_launcher_sap" sheetId="83" r:id="rId8"/>
    <sheet name="3_launcher_hs_app" sheetId="87" r:id="rId9"/>
    <sheet name="4_browser_adm" sheetId="63" r:id="rId10"/>
    <sheet name="3_others" sheetId="85" r:id="rId11"/>
    <sheet name="3_saplogon" sheetId="64" r:id="rId12"/>
    <sheet name="HK" sheetId="77" r:id="rId13"/>
    <sheet name="HS" sheetId="79" r:id="rId14"/>
  </sheets>
  <definedNames>
    <definedName name="_xlnm._FilterDatabase" localSheetId="8" hidden="1">'3_launcher_hs_app'!$A$13:$E$14</definedName>
    <definedName name="_xlnm._FilterDatabase" localSheetId="7" hidden="1">'3_launcher_sap'!#REF!</definedName>
    <definedName name="close">")"</definedName>
    <definedName name="filename" localSheetId="0">SUBSTITUTE(LEFT(CELL("filename",'3_top.ini'!XFC1048550),FIND("]",CELL("filename",'3_top.ini'!XFC1048550))-1),"[","")</definedName>
    <definedName name="ifwinactive_class">"#IfWinActive ahk_class "</definedName>
    <definedName name="ifwinactive_exe">"#IfWinActive ahk_exe "</definedName>
    <definedName name="ifwinactive_group">"#IfWinActive ahk_group "</definedName>
    <definedName name="ifwinactive_title">"#IfWinActive "</definedName>
    <definedName name="path">"D:\NT\Cloud\OneDrive\Ap\Apps\Ahk\App_auto\"</definedName>
    <definedName name="quote">CHAR(34)</definedName>
    <definedName name="quoteclose">CONCATENATE(CHAR(34),")")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7" i="66" l="1"/>
  <c r="D19" i="66" l="1"/>
  <c r="D18" i="66"/>
  <c r="D17" i="66"/>
  <c r="D16" i="66"/>
  <c r="D15" i="66"/>
  <c r="D14" i="66"/>
  <c r="D13" i="66"/>
  <c r="D12" i="66"/>
  <c r="D3" i="66"/>
  <c r="B28" i="67"/>
  <c r="B29" i="67"/>
  <c r="B25" i="67"/>
  <c r="B6" i="81"/>
  <c r="B2" i="64"/>
  <c r="D7" i="82" l="1"/>
  <c r="D15" i="82"/>
  <c r="D11" i="82"/>
  <c r="B22" i="85"/>
  <c r="D64" i="66"/>
  <c r="D63" i="66"/>
  <c r="D62" i="66"/>
  <c r="D60" i="66"/>
  <c r="D59" i="66"/>
  <c r="D58" i="66"/>
  <c r="D49" i="64" l="1"/>
  <c r="D40" i="64"/>
  <c r="D50" i="64"/>
  <c r="D33" i="64"/>
  <c r="D23" i="64"/>
  <c r="D22" i="64"/>
  <c r="D34" i="64"/>
  <c r="D35" i="64"/>
  <c r="D36" i="64"/>
  <c r="D37" i="64"/>
  <c r="D38" i="64"/>
  <c r="D39" i="64"/>
  <c r="D41" i="64"/>
  <c r="D42" i="64"/>
  <c r="D43" i="64"/>
  <c r="D44" i="64"/>
  <c r="D45" i="64"/>
  <c r="D46" i="64"/>
  <c r="D47" i="64"/>
  <c r="D48" i="64"/>
  <c r="D32" i="64"/>
  <c r="B3" i="83"/>
  <c r="D4" i="83"/>
  <c r="D45" i="66"/>
  <c r="D44" i="66"/>
  <c r="D43" i="66"/>
  <c r="D34" i="87"/>
  <c r="D36" i="87"/>
  <c r="D35" i="87"/>
  <c r="D37" i="87"/>
  <c r="D26" i="66"/>
  <c r="D27" i="66"/>
  <c r="D38" i="87"/>
  <c r="D56" i="66"/>
  <c r="D42" i="66"/>
  <c r="D40" i="66"/>
  <c r="D41" i="66"/>
  <c r="B14" i="81"/>
  <c r="D48" i="66"/>
  <c r="D3" i="82"/>
  <c r="B37" i="66"/>
  <c r="D43" i="89"/>
  <c r="D42" i="89"/>
  <c r="D41" i="89"/>
  <c r="D51" i="66"/>
  <c r="D27" i="89"/>
  <c r="D50" i="66"/>
  <c r="D49" i="66"/>
  <c r="D66" i="66"/>
  <c r="D55" i="66"/>
  <c r="D54" i="66" l="1"/>
  <c r="B15" i="67" l="1"/>
  <c r="B14" i="67"/>
  <c r="B12" i="85"/>
  <c r="D14" i="89"/>
  <c r="D15" i="89"/>
  <c r="D16" i="89"/>
  <c r="D17" i="89"/>
  <c r="D18" i="89"/>
  <c r="D19" i="89"/>
  <c r="D20" i="89"/>
  <c r="D13" i="89"/>
  <c r="D22" i="89"/>
  <c r="D23" i="89"/>
  <c r="D24" i="89"/>
  <c r="D11" i="87"/>
  <c r="D9" i="89" l="1"/>
  <c r="B48" i="89" l="1"/>
  <c r="B103" i="66"/>
  <c r="B26" i="89" l="1"/>
  <c r="D12" i="89" l="1"/>
  <c r="D11" i="89"/>
  <c r="D10" i="89"/>
  <c r="B7" i="89"/>
  <c r="B3" i="89"/>
  <c r="B33" i="87" l="1"/>
  <c r="D35" i="66" l="1"/>
  <c r="D34" i="66"/>
  <c r="D33" i="66"/>
  <c r="D32" i="66"/>
  <c r="D31" i="66"/>
  <c r="D82" i="66"/>
  <c r="D81" i="66"/>
  <c r="D80" i="66"/>
  <c r="D78" i="66"/>
  <c r="D79" i="66" l="1"/>
  <c r="D83" i="66"/>
  <c r="D88" i="66"/>
  <c r="D87" i="66"/>
  <c r="D86" i="66"/>
  <c r="D85" i="66"/>
  <c r="D84" i="66"/>
  <c r="D19" i="69" l="1"/>
  <c r="D39" i="66"/>
  <c r="B74" i="66"/>
  <c r="B3" i="87" l="1"/>
  <c r="D10" i="87" l="1"/>
  <c r="D9" i="87"/>
  <c r="D8" i="87"/>
  <c r="D7" i="87"/>
  <c r="D5" i="87"/>
  <c r="D14" i="87"/>
  <c r="D23" i="87"/>
  <c r="D22" i="87"/>
  <c r="D21" i="87"/>
  <c r="D31" i="87"/>
  <c r="D18" i="87"/>
  <c r="D17" i="87"/>
  <c r="D28" i="87"/>
  <c r="D27" i="87"/>
  <c r="D26" i="87"/>
  <c r="D42" i="87"/>
  <c r="D39" i="87"/>
  <c r="D53" i="87"/>
  <c r="D55" i="87"/>
  <c r="D40" i="87"/>
  <c r="D56" i="87"/>
  <c r="D59" i="87"/>
  <c r="D57" i="87"/>
  <c r="D49" i="87"/>
  <c r="D48" i="87"/>
  <c r="D44" i="87"/>
  <c r="D51" i="87"/>
  <c r="D63" i="87"/>
  <c r="D46" i="87"/>
  <c r="D43" i="87"/>
  <c r="D47" i="87"/>
  <c r="D60" i="87"/>
  <c r="D41" i="87"/>
  <c r="D61" i="87"/>
  <c r="D45" i="87"/>
  <c r="D62" i="87"/>
  <c r="D50" i="87"/>
  <c r="D54" i="87"/>
  <c r="D52" i="87"/>
  <c r="D58" i="87"/>
  <c r="B11" i="67"/>
  <c r="B12" i="67"/>
  <c r="B30" i="63" l="1"/>
  <c r="B8" i="67" l="1" a="1"/>
  <c r="B8" i="67" s="1"/>
  <c r="B6" i="85" l="1"/>
  <c r="B20" i="63"/>
  <c r="B4" i="85"/>
  <c r="B2" i="85"/>
  <c r="B43" i="82" l="1"/>
  <c r="B30" i="66" l="1"/>
  <c r="D77" i="66" l="1"/>
  <c r="B7" i="67" l="1" a="1"/>
  <c r="B7" i="67" s="1"/>
  <c r="D28" i="66" l="1"/>
  <c r="B6" i="67" l="1" a="1"/>
  <c r="B6" i="67" s="1"/>
  <c r="D52" i="66" l="1"/>
  <c r="B40" i="82" l="1"/>
  <c r="B6" i="83" l="1"/>
  <c r="E96" i="80" l="1"/>
  <c r="E95" i="80"/>
  <c r="C74" i="80" l="1" a="1"/>
  <c r="C74" i="80" s="1"/>
  <c r="C63" i="80"/>
  <c r="B17" i="69"/>
  <c r="C66" i="80" l="1"/>
  <c r="C64" i="80"/>
  <c r="C65" i="80"/>
  <c r="B36" i="82" l="1"/>
  <c r="B33" i="82"/>
  <c r="B25" i="82"/>
  <c r="B19" i="82"/>
  <c r="B2" i="82"/>
  <c r="B25" i="81"/>
  <c r="B21" i="81"/>
  <c r="B9" i="81"/>
  <c r="B2" i="81"/>
  <c r="B2" i="63" l="1"/>
  <c r="B14" i="63" l="1"/>
  <c r="B27" i="63" l="1"/>
  <c r="B7" i="63" l="1"/>
  <c r="B47" i="66" l="1"/>
  <c r="B76" i="66" l="1"/>
  <c r="B21" i="66"/>
  <c r="D15" i="69" l="1"/>
  <c r="D14" i="69"/>
  <c r="D11" i="69"/>
  <c r="D10" i="69"/>
  <c r="D8" i="69"/>
  <c r="D7" i="69"/>
  <c r="D6" i="69"/>
  <c r="B13" i="69" l="1"/>
  <c r="B4" i="69"/>
  <c r="B2" i="69"/>
  <c r="B2" i="66"/>
  <c r="B16" i="64" l="1"/>
  <c r="B5" i="64"/>
  <c r="B69" i="6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<sst xmlns="http://schemas.openxmlformats.org/spreadsheetml/2006/main" count="2833" uniqueCount="1423">
  <si>
    <t>;Campo</t>
  </si>
  <si>
    <t>;Valor1</t>
  </si>
  <si>
    <t>;Valor2</t>
  </si>
  <si>
    <t>;Descripcion</t>
  </si>
  <si>
    <t>A_notepad</t>
  </si>
  <si>
    <t>=</t>
  </si>
  <si>
    <t>notepad</t>
  </si>
  <si>
    <t>ahk_exe notepad.exe</t>
  </si>
  <si>
    <t>A_notepad2</t>
  </si>
  <si>
    <t>notepad++</t>
  </si>
  <si>
    <t>ahk_exe notepad++.exe</t>
  </si>
  <si>
    <t>A_word</t>
  </si>
  <si>
    <t>winword</t>
  </si>
  <si>
    <t>ahk_exe WINWORD.EXE</t>
  </si>
  <si>
    <t>A_excel</t>
  </si>
  <si>
    <t>excel</t>
  </si>
  <si>
    <t>A_powerpoint</t>
  </si>
  <si>
    <t>powerpnt</t>
  </si>
  <si>
    <t>ahk_exe POWERPNT.EXE</t>
  </si>
  <si>
    <t>A_access</t>
  </si>
  <si>
    <t>msaccess</t>
  </si>
  <si>
    <t>ahk_exe MSACCESS.EXE</t>
  </si>
  <si>
    <t>A_chrome</t>
  </si>
  <si>
    <t>chrome</t>
  </si>
  <si>
    <t>ahk_exe chrome.exe</t>
  </si>
  <si>
    <t>A_cmd</t>
  </si>
  <si>
    <t>cmd</t>
  </si>
  <si>
    <t>ahk_exe cmd.exe</t>
  </si>
  <si>
    <t>A_firefox</t>
  </si>
  <si>
    <t>firefox</t>
  </si>
  <si>
    <t>ahk_exe firefox.exe</t>
  </si>
  <si>
    <t>A_edge</t>
  </si>
  <si>
    <t>msedge</t>
  </si>
  <si>
    <t>ahk_exe msedge.exe</t>
  </si>
  <si>
    <t>A_brave</t>
  </si>
  <si>
    <t>brave</t>
  </si>
  <si>
    <t>ahk_exe brave.exe</t>
  </si>
  <si>
    <t>A_explorer</t>
  </si>
  <si>
    <t>explorer</t>
  </si>
  <si>
    <t>ahk_class CabinetWClass</t>
  </si>
  <si>
    <t>C:\Program Files\Microsoft VS Code\Code.exe</t>
  </si>
  <si>
    <t>ahk_exe Code.exe</t>
  </si>
  <si>
    <t>A_pdfxviewer</t>
  </si>
  <si>
    <t>pdfxview</t>
  </si>
  <si>
    <t>ahk_exe PDFXCview.exe</t>
  </si>
  <si>
    <t>A_saplogon</t>
  </si>
  <si>
    <t>saplogon</t>
  </si>
  <si>
    <t>ahk_class SAP_FRONTEND_SESSION</t>
  </si>
  <si>
    <t>A_outlook</t>
  </si>
  <si>
    <t>outlook</t>
  </si>
  <si>
    <t>ahk_exe outlook.exe</t>
  </si>
  <si>
    <t>A_onenote</t>
  </si>
  <si>
    <t>A_wps</t>
  </si>
  <si>
    <t>wps</t>
  </si>
  <si>
    <t>ahk_exe wps.exe</t>
  </si>
  <si>
    <t>A_teams</t>
  </si>
  <si>
    <t>A_xyplorer</t>
  </si>
  <si>
    <t>ahk_exe XYplorer.exe</t>
  </si>
  <si>
    <t>A_notion</t>
  </si>
  <si>
    <t>ahk_exe Notion.exe</t>
  </si>
  <si>
    <t>A_eclipse</t>
  </si>
  <si>
    <t>ahk_exe eclipse.exe</t>
  </si>
  <si>
    <t>A_taskmanager</t>
  </si>
  <si>
    <t>taskmgr</t>
  </si>
  <si>
    <t>ahk_exe Taskmgr.exe</t>
  </si>
  <si>
    <t>A_visualtime</t>
  </si>
  <si>
    <t>C:\Program Files (x86)\Visual TimeAnalyzer\Analyzer.exe</t>
  </si>
  <si>
    <t>ahk_exe Analyzer.exe</t>
  </si>
  <si>
    <t>A_spy</t>
  </si>
  <si>
    <t>C:\Program Files\AutoHotkey\WindowSpy.ahk</t>
  </si>
  <si>
    <t>Window Spy</t>
  </si>
  <si>
    <t>A_aimp</t>
  </si>
  <si>
    <t>aimp</t>
  </si>
  <si>
    <t>ahk_exe aimp.exe</t>
  </si>
  <si>
    <t>A_snagit</t>
  </si>
  <si>
    <t>C:\Program Files (x86)\TechSmith\Snagit 13\SnagitEditor.exe</t>
  </si>
  <si>
    <t>ahk_exe snagiteditor.exe</t>
  </si>
  <si>
    <t>A_onedrive</t>
  </si>
  <si>
    <t>OneDrive</t>
  </si>
  <si>
    <t>A_mega</t>
  </si>
  <si>
    <t>D:\Mega</t>
  </si>
  <si>
    <t>Mega</t>
  </si>
  <si>
    <t>A_googledrive</t>
  </si>
  <si>
    <t>D:\GoogleDrive</t>
  </si>
  <si>
    <t>GoogleDrive</t>
  </si>
  <si>
    <t>A_whatsapp</t>
  </si>
  <si>
    <t>https://web.whatsapp.com/</t>
  </si>
  <si>
    <t>WhatsApp</t>
  </si>
  <si>
    <t>A_calendar</t>
  </si>
  <si>
    <t>https://calendar.google.com/calendar/r/week?pli=1</t>
  </si>
  <si>
    <t>Calendar</t>
  </si>
  <si>
    <t>[A_sap]</t>
  </si>
  <si>
    <t>A_abapext</t>
  </si>
  <si>
    <t>.txt</t>
  </si>
  <si>
    <t>A_sapbox</t>
  </si>
  <si>
    <t>Edit1</t>
  </si>
  <si>
    <t>saplogon.exe</t>
  </si>
  <si>
    <t>A_killsap</t>
  </si>
  <si>
    <t>taskkill</t>
  </si>
  <si>
    <t>[A_key]</t>
  </si>
  <si>
    <t>A_everything</t>
  </si>
  <si>
    <t>^!{e}</t>
  </si>
  <si>
    <t>A_alttab</t>
  </si>
  <si>
    <t>!{tab}</t>
  </si>
  <si>
    <t>A_ctrltab</t>
  </si>
  <si>
    <t>^{tab}</t>
  </si>
  <si>
    <t>A_ctrlalttab</t>
  </si>
  <si>
    <t>^!{tab}</t>
  </si>
  <si>
    <t>A_listary</t>
  </si>
  <si>
    <t>^!{l}</t>
  </si>
  <si>
    <t>A_switcheroo</t>
  </si>
  <si>
    <t>^!{t}</t>
  </si>
  <si>
    <t>A_snipaste</t>
  </si>
  <si>
    <t>^!{s}</t>
  </si>
  <si>
    <t>A_copyq</t>
  </si>
  <si>
    <t>^!{c}</t>
  </si>
  <si>
    <t>A_diito</t>
  </si>
  <si>
    <t>^!{i}</t>
  </si>
  <si>
    <t>A_automate</t>
  </si>
  <si>
    <t>^!{a}</t>
  </si>
  <si>
    <t>[zym_key]</t>
  </si>
  <si>
    <t>zym_abap</t>
  </si>
  <si>
    <t>zym_logon</t>
  </si>
  <si>
    <t>ost.txt</t>
  </si>
  <si>
    <t>zym_folder</t>
  </si>
  <si>
    <t>src\</t>
  </si>
  <si>
    <t>zym_ymg</t>
  </si>
  <si>
    <t>ym_g.txt</t>
  </si>
  <si>
    <t>[A_omnia]</t>
  </si>
  <si>
    <t>Ow_time</t>
  </si>
  <si>
    <t>http://osss.omniasolution.com:8093/</t>
  </si>
  <si>
    <t>GestionarActividades</t>
  </si>
  <si>
    <t>A_zosss005</t>
  </si>
  <si>
    <t>Reporte de Tickets</t>
  </si>
  <si>
    <t>[N_norman]</t>
  </si>
  <si>
    <t>Ne_auto</t>
  </si>
  <si>
    <t>Excel Automate</t>
  </si>
  <si>
    <t>Nf_music</t>
  </si>
  <si>
    <t>Folder music</t>
  </si>
  <si>
    <t>[wheel_control_click]</t>
  </si>
  <si>
    <t>gtc1_scroll</t>
  </si>
  <si>
    <t>TrueLaunchBarWindow1</t>
  </si>
  <si>
    <t>TrueLaunchBar</t>
  </si>
  <si>
    <t>[wheel_control_click2]</t>
  </si>
  <si>
    <t>gtc2_scroll</t>
  </si>
  <si>
    <t>SAPTreeList2,Button</t>
  </si>
  <si>
    <t>Sap Abap</t>
  </si>
  <si>
    <t>gt0_altesc</t>
  </si>
  <si>
    <t>ahk_exe Teams.exe</t>
  </si>
  <si>
    <t>Bandeja de entrada</t>
  </si>
  <si>
    <t>Outlook</t>
  </si>
  <si>
    <t>ahk_class SWT_Window0</t>
  </si>
  <si>
    <t>ahk_exe Everything.exe</t>
  </si>
  <si>
    <t>ahk_exe WFICA32.EXE</t>
  </si>
  <si>
    <t>ahk_class #32770</t>
  </si>
  <si>
    <t>ahk_class bosa_sdm_XL9</t>
  </si>
  <si>
    <t>ahk_exe SearchUI.exe</t>
  </si>
  <si>
    <t>ahk_exe switcheroo.exe</t>
  </si>
  <si>
    <t>ahk_exe tlbhost.exe</t>
  </si>
  <si>
    <t>True Launch Bar</t>
  </si>
  <si>
    <t>Mecanografía</t>
  </si>
  <si>
    <t>Netflix</t>
  </si>
  <si>
    <t>Firefox</t>
  </si>
  <si>
    <t>xyplorer</t>
  </si>
  <si>
    <t>ahk_exe PDFXEdit.exe</t>
  </si>
  <si>
    <t>pdf xchange edito</t>
  </si>
  <si>
    <t>ahk_class Chrome_WidgetWin_1</t>
  </si>
  <si>
    <t>Chromium</t>
  </si>
  <si>
    <t>ahk_class Notepad++</t>
  </si>
  <si>
    <t>Notepad++</t>
  </si>
  <si>
    <t>Explorer</t>
  </si>
  <si>
    <t>ahk_class TViewForm</t>
  </si>
  <si>
    <t>Beyond compare</t>
  </si>
  <si>
    <t>Stat</t>
  </si>
  <si>
    <t>;Hotkey</t>
  </si>
  <si>
    <t>;vs</t>
  </si>
  <si>
    <t>;Comentarios</t>
  </si>
  <si>
    <t>;* Created</t>
  </si>
  <si>
    <t>10.02.2015 by norman tinco</t>
  </si>
  <si>
    <t>;* Modified</t>
  </si>
  <si>
    <t>INCLUDE</t>
  </si>
  <si>
    <t>x</t>
  </si>
  <si>
    <t>Menu Tray, Icon, shell32.dll, 25</t>
  </si>
  <si>
    <t>Automate_prd.ahk</t>
  </si>
  <si>
    <t>Automate_dev.ahk</t>
  </si>
  <si>
    <t>GROUP</t>
  </si>
  <si>
    <t>GroupAdd gr_sap_debug, debugging</t>
  </si>
  <si>
    <t>GroupAdd gr_sap_debug, debugger</t>
  </si>
  <si>
    <t>INICIALIZATION</t>
  </si>
  <si>
    <t>inicializa()</t>
  </si>
  <si>
    <t>inicializa(){</t>
  </si>
  <si>
    <t>files\automate.ini</t>
  </si>
  <si>
    <t>}</t>
  </si>
  <si>
    <t>;Code</t>
  </si>
  <si>
    <t>Hs.</t>
  </si>
  <si>
    <t>Key Left EN.</t>
  </si>
  <si>
    <t>!w</t>
  </si>
  <si>
    <t>::</t>
  </si>
  <si>
    <t>go.app_close()</t>
  </si>
  <si>
    <t>!e</t>
  </si>
  <si>
    <t>!a</t>
  </si>
  <si>
    <t>!s</t>
  </si>
  <si>
    <t>!d</t>
  </si>
  <si>
    <t>!f</t>
  </si>
  <si>
    <t>Key Right EN.</t>
  </si>
  <si>
    <t>!j</t>
  </si>
  <si>
    <t>!k</t>
  </si>
  <si>
    <t>#Win</t>
  </si>
  <si>
    <t>#w</t>
  </si>
  <si>
    <t>go.app_closeprocess()</t>
  </si>
  <si>
    <t>#e</t>
  </si>
  <si>
    <t>#c</t>
  </si>
  <si>
    <t>#v</t>
  </si>
  <si>
    <t>!1</t>
  </si>
  <si>
    <t>!3</t>
  </si>
  <si>
    <t>Mouse.</t>
  </si>
  <si>
    <t>:*:nn</t>
  </si>
  <si>
    <t>zomt_ticket</t>
  </si>
  <si>
    <t>:*:n1</t>
  </si>
  <si>
    <t>:*:d1</t>
  </si>
  <si>
    <t>A_day</t>
  </si>
  <si>
    <t>::"I</t>
  </si>
  <si>
    <t>::"E</t>
  </si>
  <si>
    <t>go.sap.abap_commentline(A_thislabel,"NTP",zomt_ticket)</t>
  </si>
  <si>
    <t>::*I</t>
  </si>
  <si>
    <t>::*E</t>
  </si>
  <si>
    <t>go.sap.abap_commentblock(A_thislabel,"NTP",zomt_ticket)</t>
  </si>
  <si>
    <t>return</t>
  </si>
  <si>
    <t>t</t>
  </si>
  <si>
    <t>Windows General.</t>
  </si>
  <si>
    <t>$ESC</t>
  </si>
  <si>
    <t>$^w</t>
  </si>
  <si>
    <t>go.app_close("x")</t>
  </si>
  <si>
    <t>Fx</t>
  </si>
  <si>
    <t>$F1</t>
  </si>
  <si>
    <t>^!a</t>
  </si>
  <si>
    <t>Reload</t>
  </si>
  <si>
    <t>Numpad.</t>
  </si>
  <si>
    <t>Numpad7</t>
  </si>
  <si>
    <t>Numpad8</t>
  </si>
  <si>
    <t>Numpad9</t>
  </si>
  <si>
    <t>Numpad4</t>
  </si>
  <si>
    <t>Numpad5</t>
  </si>
  <si>
    <t>Numpad6</t>
  </si>
  <si>
    <t>Numpad1</t>
  </si>
  <si>
    <t>Numpad2</t>
  </si>
  <si>
    <t>Numpad3</t>
  </si>
  <si>
    <t>Numpad0</t>
  </si>
  <si>
    <t>zomt_logon1</t>
  </si>
  <si>
    <t>NumpadDot</t>
  </si>
  <si>
    <t>zomt_logon2</t>
  </si>
  <si>
    <t>NumLock</t>
  </si>
  <si>
    <t>zomt_excel</t>
  </si>
  <si>
    <t>~Lbutton</t>
  </si>
  <si>
    <t>Send ^w</t>
  </si>
  <si>
    <t>Snipper - Snipaste</t>
  </si>
  <si>
    <t>go.winsel()</t>
  </si>
  <si>
    <t>Automate_</t>
  </si>
  <si>
    <t>~^s</t>
  </si>
  <si>
    <t>reload</t>
  </si>
  <si>
    <t>Outlook.exe</t>
  </si>
  <si>
    <t>Excel.exe</t>
  </si>
  <si>
    <t>^left</t>
  </si>
  <si>
    <t>Send ^{pgup}</t>
  </si>
  <si>
    <t>^right</t>
  </si>
  <si>
    <t>Send ^{pgdn}</t>
  </si>
  <si>
    <t>^t</t>
  </si>
  <si>
    <t>Send +{F11}</t>
  </si>
  <si>
    <t>Winword.exe</t>
  </si>
  <si>
    <t>!7</t>
  </si>
  <si>
    <t>go.word_resize("75")</t>
  </si>
  <si>
    <t>!8</t>
  </si>
  <si>
    <t>go.word_resize("80")</t>
  </si>
  <si>
    <t>!9</t>
  </si>
  <si>
    <t>go.word_resize("90")</t>
  </si>
  <si>
    <t>F3</t>
  </si>
  <si>
    <t>Send ^f</t>
  </si>
  <si>
    <t>F4</t>
  </si>
  <si>
    <t>Visual Basic for Applications -</t>
  </si>
  <si>
    <t>wps.exe</t>
  </si>
  <si>
    <t>^Left</t>
  </si>
  <si>
    <t>Send ^+{tab}</t>
  </si>
  <si>
    <t>^Right</t>
  </si>
  <si>
    <t>Send ^{tab}</t>
  </si>
  <si>
    <t>Bcompare.exe</t>
  </si>
  <si>
    <t>!enter</t>
  </si>
  <si>
    <t>Send {enter}</t>
  </si>
  <si>
    <t>Send ^{a}!{i}!{pgdn}</t>
  </si>
  <si>
    <t xml:space="preserve"> d</t>
  </si>
  <si>
    <t>enter</t>
  </si>
  <si>
    <t xml:space="preserve"> c</t>
  </si>
  <si>
    <t xml:space="preserve"> +c</t>
  </si>
  <si>
    <t>go.winsel(,on)</t>
  </si>
  <si>
    <t>F12</t>
  </si>
  <si>
    <t>Sleep 100</t>
  </si>
  <si>
    <t>Code.exe</t>
  </si>
  <si>
    <t>Send ^+{o}</t>
  </si>
  <si>
    <t>F5</t>
  </si>
  <si>
    <t>Send ^p</t>
  </si>
  <si>
    <t>F6</t>
  </si>
  <si>
    <t>Send ^+{p}</t>
  </si>
  <si>
    <t>Notepad++.exe</t>
  </si>
  <si>
    <t>Eclipse.exe</t>
  </si>
  <si>
    <t>Send ^o</t>
  </si>
  <si>
    <t>Send *</t>
  </si>
  <si>
    <t>Send ^+a</t>
  </si>
  <si>
    <t>Send ^e</t>
  </si>
  <si>
    <t>go.eclipse_rename()</t>
  </si>
  <si>
    <t>switcheroo.exe</t>
  </si>
  <si>
    <t>PgDn</t>
  </si>
  <si>
    <t>Send {Down 5}</t>
  </si>
  <si>
    <t>PgUp</t>
  </si>
  <si>
    <t>Send {Up 5}</t>
  </si>
  <si>
    <t>Lbutton</t>
  </si>
  <si>
    <t>Click 2</t>
  </si>
  <si>
    <t>Del</t>
  </si>
  <si>
    <t>Paginas Web</t>
  </si>
  <si>
    <t>Folder</t>
  </si>
  <si>
    <t>go.everything_copycontent()</t>
  </si>
  <si>
    <t>Notion.exe</t>
  </si>
  <si>
    <t>Send ^[</t>
  </si>
  <si>
    <t>!left</t>
  </si>
  <si>
    <t>!right</t>
  </si>
  <si>
    <t>Send ^]</t>
  </si>
  <si>
    <t>!up</t>
  </si>
  <si>
    <t>Send ^+u</t>
  </si>
  <si>
    <t>msedge.exe</t>
  </si>
  <si>
    <t>Send !q</t>
  </si>
  <si>
    <t>chrome.exe</t>
  </si>
  <si>
    <t>xyplorer.exe</t>
  </si>
  <si>
    <t>Teams.exe</t>
  </si>
  <si>
    <t>Send ^+f</t>
  </si>
  <si>
    <t>CabinetWClass</t>
  </si>
  <si>
    <t>firefox.exe</t>
  </si>
  <si>
    <t>Gr_sap_debug</t>
  </si>
  <si>
    <t>!q</t>
  </si>
  <si>
    <t>go.sap.qasopen_var()</t>
  </si>
  <si>
    <t>!`</t>
  </si>
  <si>
    <t>go.sap.qasopen_val()</t>
  </si>
  <si>
    <t>F2</t>
  </si>
  <si>
    <t>Send {F2}</t>
  </si>
  <si>
    <t>Send {F5}</t>
  </si>
  <si>
    <t>SAP_FRONTEND_SESSION</t>
  </si>
  <si>
    <t>(</t>
  </si>
  <si>
    <t>Send (){left}</t>
  </si>
  <si>
    <t>$enter</t>
  </si>
  <si>
    <t>go.sap.tcode("enter")</t>
  </si>
  <si>
    <t>^+k</t>
  </si>
  <si>
    <t>^+l</t>
  </si>
  <si>
    <t>Send ^{+}</t>
  </si>
  <si>
    <t>Send {F4}</t>
  </si>
  <si>
    <t>go.sap.tratarobjeto()</t>
  </si>
  <si>
    <t>go.sap.tcode("/nex")</t>
  </si>
  <si>
    <t>!h</t>
  </si>
  <si>
    <t>go.sap.tcode("/h")</t>
  </si>
  <si>
    <t>^b</t>
  </si>
  <si>
    <t>go.sap.abap_activate("all")</t>
  </si>
  <si>
    <t>!b</t>
  </si>
  <si>
    <t>go.sap.abap_activate()</t>
  </si>
  <si>
    <t>Send +{F6}</t>
  </si>
  <si>
    <t>Send +{F7}</t>
  </si>
  <si>
    <t>go.sap.qasopen()</t>
  </si>
  <si>
    <t>^`</t>
  </si>
  <si>
    <t>go.sap.tcode("ymt")</t>
  </si>
  <si>
    <t>^1</t>
  </si>
  <si>
    <t>go.sap.tcode("se11")</t>
  </si>
  <si>
    <t>^3</t>
  </si>
  <si>
    <t>go.sap.tcode("se93")</t>
  </si>
  <si>
    <t>^4</t>
  </si>
  <si>
    <t>go.sap.tcode("se24")</t>
  </si>
  <si>
    <t>^6</t>
  </si>
  <si>
    <t>go.sap.tcode("se16n")</t>
  </si>
  <si>
    <t>^7</t>
  </si>
  <si>
    <t>go.sap.tcode("se37")</t>
  </si>
  <si>
    <t>^8</t>
  </si>
  <si>
    <t>go.sap.tcode("se38")</t>
  </si>
  <si>
    <t>^0</t>
  </si>
  <si>
    <t>go.sap.tcode("se80")</t>
  </si>
  <si>
    <t>:*b0:ymt</t>
  </si>
  <si>
    <t>:*b0:ymg</t>
  </si>
  <si>
    <t>:*b0:ymr</t>
  </si>
  <si>
    <t>:*b0:se11</t>
  </si>
  <si>
    <t>:*b0:se18</t>
  </si>
  <si>
    <t>:*b0:se24</t>
  </si>
  <si>
    <t>:*b0:se38</t>
  </si>
  <si>
    <t>:*b0:se80</t>
  </si>
  <si>
    <t>:*b0:se93</t>
  </si>
  <si>
    <t>:*b0:scc1</t>
  </si>
  <si>
    <t>:*b0:sm30</t>
  </si>
  <si>
    <t>:*b0:stms</t>
  </si>
  <si>
    <t>:*b0:sost</t>
  </si>
  <si>
    <t>:*b0:sq01</t>
  </si>
  <si>
    <t>:*b0:sq02</t>
  </si>
  <si>
    <t>:*b0:st22</t>
  </si>
  <si>
    <t>:*b0:fb02</t>
  </si>
  <si>
    <t>:*b0:fb03</t>
  </si>
  <si>
    <t>:*b0:fb60</t>
  </si>
  <si>
    <t>:*b0:me22n</t>
  </si>
  <si>
    <t>:*b0:me23n</t>
  </si>
  <si>
    <t>:*b0:me33k</t>
  </si>
  <si>
    <t>:*b0:me42</t>
  </si>
  <si>
    <t>:*b0:me43</t>
  </si>
  <si>
    <t>:*b0:me52n</t>
  </si>
  <si>
    <t>:*b0:ml81n</t>
  </si>
  <si>
    <t>:*b0:migo</t>
  </si>
  <si>
    <t>:*b0:miro</t>
  </si>
  <si>
    <t>:*b0:mir4</t>
  </si>
  <si>
    <t>:*b0:va01</t>
  </si>
  <si>
    <t>:*b0:vf02</t>
  </si>
  <si>
    <t>:*b0:vf03</t>
  </si>
  <si>
    <t>:*b0:idcp</t>
  </si>
  <si>
    <t>:*b0:iw33</t>
  </si>
  <si>
    <t>:*b0:iw51</t>
  </si>
  <si>
    <t>:*b0:iw53</t>
  </si>
  <si>
    <t>:*b0:zosfe000</t>
  </si>
  <si>
    <t>:*b0:zosfer01</t>
  </si>
  <si>
    <t>:*b0:zosfer02</t>
  </si>
  <si>
    <t>:*b0:zosfer03</t>
  </si>
  <si>
    <t>:*b0:zosfer04</t>
  </si>
  <si>
    <t>:*b0:zospell00</t>
  </si>
  <si>
    <t>:*b0:zqm021</t>
  </si>
  <si>
    <t>:*b0:zqm026</t>
  </si>
  <si>
    <t>go.sap.tcode("complete")</t>
  </si>
  <si>
    <t>:*b0:ac1</t>
  </si>
  <si>
    <t>acfarma dev</t>
  </si>
  <si>
    <t>:*b0:ac2</t>
  </si>
  <si>
    <t>acfarma qas</t>
  </si>
  <si>
    <t>:*b0:ac3</t>
  </si>
  <si>
    <t>acfarma prd</t>
  </si>
  <si>
    <t>:*b0:ai1</t>
  </si>
  <si>
    <t>aib dev</t>
  </si>
  <si>
    <t>:*b0:ai2</t>
  </si>
  <si>
    <t>aib qas</t>
  </si>
  <si>
    <t>:*b0:ai3</t>
  </si>
  <si>
    <t>aib prd</t>
  </si>
  <si>
    <t>:*b0:au1</t>
  </si>
  <si>
    <t>austral dev</t>
  </si>
  <si>
    <t>:*b0:au2</t>
  </si>
  <si>
    <t>austral qas</t>
  </si>
  <si>
    <t>:*b0:au3</t>
  </si>
  <si>
    <t>austral prd</t>
  </si>
  <si>
    <t>:*b0:be1</t>
  </si>
  <si>
    <t>beta dev</t>
  </si>
  <si>
    <t>:*b0:be2</t>
  </si>
  <si>
    <t>beta qas</t>
  </si>
  <si>
    <t>:*b0:be3</t>
  </si>
  <si>
    <t>beta prd</t>
  </si>
  <si>
    <t>:*b0:c21</t>
  </si>
  <si>
    <t>c2e2 dev 400</t>
  </si>
  <si>
    <t>:*b0:c22</t>
  </si>
  <si>
    <t>c2e2 dev 450</t>
  </si>
  <si>
    <t>:*b0:ce1</t>
  </si>
  <si>
    <t>cew dev</t>
  </si>
  <si>
    <t>:*b0:ce2</t>
  </si>
  <si>
    <t>cew qas</t>
  </si>
  <si>
    <t>:*b0:ce3</t>
  </si>
  <si>
    <t>cew prd</t>
  </si>
  <si>
    <t>:*b0:ch1</t>
  </si>
  <si>
    <t>chilca dev</t>
  </si>
  <si>
    <t>:*b0:ch2</t>
  </si>
  <si>
    <t>chilca qas</t>
  </si>
  <si>
    <t>:*b0:ch3</t>
  </si>
  <si>
    <t>chilca prd</t>
  </si>
  <si>
    <t>:*b0:cm1</t>
  </si>
  <si>
    <t>cmh dev</t>
  </si>
  <si>
    <t>:*b0:cm2</t>
  </si>
  <si>
    <t>cmh qas</t>
  </si>
  <si>
    <t>:*b0:cm3</t>
  </si>
  <si>
    <t>cmh prd</t>
  </si>
  <si>
    <t>:*b0:da1</t>
  </si>
  <si>
    <t>danper dev</t>
  </si>
  <si>
    <t>:*b0:da2</t>
  </si>
  <si>
    <t>danper qas</t>
  </si>
  <si>
    <t>:*b0:da3</t>
  </si>
  <si>
    <t>danper prd</t>
  </si>
  <si>
    <t>:*b0:ex1</t>
  </si>
  <si>
    <t>exalmar dev</t>
  </si>
  <si>
    <t>:*b0:ex2</t>
  </si>
  <si>
    <t>exalmar qas</t>
  </si>
  <si>
    <t>:*b0:ex3</t>
  </si>
  <si>
    <t>exalmar prd</t>
  </si>
  <si>
    <t>:*b0:em1</t>
  </si>
  <si>
    <t>emergent dev</t>
  </si>
  <si>
    <t>:*b0:em2</t>
  </si>
  <si>
    <t>emergent qas</t>
  </si>
  <si>
    <t>:*b0:em3</t>
  </si>
  <si>
    <t>emergent prd</t>
  </si>
  <si>
    <t>:*b0:id1</t>
  </si>
  <si>
    <t>ides dev</t>
  </si>
  <si>
    <t>:*b0:in1</t>
  </si>
  <si>
    <t>inka dev</t>
  </si>
  <si>
    <t>:*b0:in2</t>
  </si>
  <si>
    <t>inka qas</t>
  </si>
  <si>
    <t>:*b0:in3</t>
  </si>
  <si>
    <t>inka prd</t>
  </si>
  <si>
    <t>:*b0:il1</t>
  </si>
  <si>
    <t>ilender dev</t>
  </si>
  <si>
    <t>:*b0:il2</t>
  </si>
  <si>
    <t>ilender qas</t>
  </si>
  <si>
    <t>:*b0:il3</t>
  </si>
  <si>
    <t>ilender prd</t>
  </si>
  <si>
    <t>:*b0:ip1</t>
  </si>
  <si>
    <t>ipesa dev</t>
  </si>
  <si>
    <t>:*b0:ip2</t>
  </si>
  <si>
    <t>ipesa qas</t>
  </si>
  <si>
    <t>:*b0:ip3</t>
  </si>
  <si>
    <t>ipesa prd</t>
  </si>
  <si>
    <t>:*b0:ga1</t>
  </si>
  <si>
    <t>gandules dev</t>
  </si>
  <si>
    <t>:*b0:ga2</t>
  </si>
  <si>
    <t>gandules qas</t>
  </si>
  <si>
    <t>:*b0:ga3</t>
  </si>
  <si>
    <t>gandules prd</t>
  </si>
  <si>
    <t>:*b0:gq1</t>
  </si>
  <si>
    <t>gqc dev</t>
  </si>
  <si>
    <t>:*b0:gq2</t>
  </si>
  <si>
    <t>gqc qas</t>
  </si>
  <si>
    <t>:*b0:gq3</t>
  </si>
  <si>
    <t>gqc prd</t>
  </si>
  <si>
    <t>:*b0:km1</t>
  </si>
  <si>
    <t>kmmp dev</t>
  </si>
  <si>
    <t>:*b0:km2</t>
  </si>
  <si>
    <t>kmmp qas</t>
  </si>
  <si>
    <t>:*b0:km3</t>
  </si>
  <si>
    <t>kmmp prd</t>
  </si>
  <si>
    <t>:*b0:mi1</t>
  </si>
  <si>
    <t>minsur dev</t>
  </si>
  <si>
    <t>:*b0:mi2</t>
  </si>
  <si>
    <t>minsur qas</t>
  </si>
  <si>
    <t>:*b0:mi3</t>
  </si>
  <si>
    <t>minsur prd</t>
  </si>
  <si>
    <t>:*b0:me1</t>
  </si>
  <si>
    <t>medrock dev</t>
  </si>
  <si>
    <t>:*b0:me2</t>
  </si>
  <si>
    <t>medrock qas</t>
  </si>
  <si>
    <t>:*b0:me3</t>
  </si>
  <si>
    <t>medrock prd</t>
  </si>
  <si>
    <t>:*b0:mo1</t>
  </si>
  <si>
    <t>modasa dev</t>
  </si>
  <si>
    <t>:*b0:mo2</t>
  </si>
  <si>
    <t>modasa qas</t>
  </si>
  <si>
    <t>:*b0:mo3</t>
  </si>
  <si>
    <t>modasa prd</t>
  </si>
  <si>
    <t>:*b0:ml1</t>
  </si>
  <si>
    <t>molicop dev</t>
  </si>
  <si>
    <t>:*b0:ml2</t>
  </si>
  <si>
    <t>molicop qas</t>
  </si>
  <si>
    <t>:*b0:ml3</t>
  </si>
  <si>
    <t>molicop prd</t>
  </si>
  <si>
    <t>:*b0:na1</t>
  </si>
  <si>
    <t>naviera dev</t>
  </si>
  <si>
    <t>:*b0:na2</t>
  </si>
  <si>
    <t>naviera qas</t>
  </si>
  <si>
    <t>:*b0:na3</t>
  </si>
  <si>
    <t>naviera prd</t>
  </si>
  <si>
    <t>:*b0:nb1</t>
  </si>
  <si>
    <t>nbtel dev</t>
  </si>
  <si>
    <t>:*b0:pe1</t>
  </si>
  <si>
    <t>pedregal dev</t>
  </si>
  <si>
    <t>:*b0:pe2</t>
  </si>
  <si>
    <t>pedregal qas</t>
  </si>
  <si>
    <t>:*b0:pe3</t>
  </si>
  <si>
    <t>pedregal prd</t>
  </si>
  <si>
    <t>:*b0:pi1</t>
  </si>
  <si>
    <t>piramide dev</t>
  </si>
  <si>
    <t>:*b0:pi2</t>
  </si>
  <si>
    <t>piramide qas</t>
  </si>
  <si>
    <t>:*b0:pi3</t>
  </si>
  <si>
    <t>piramide prd</t>
  </si>
  <si>
    <t>:*b0:pt1</t>
  </si>
  <si>
    <t>petramas dev</t>
  </si>
  <si>
    <t>:*b0:pt2</t>
  </si>
  <si>
    <t>petramas qas</t>
  </si>
  <si>
    <t>:*b0:pt3</t>
  </si>
  <si>
    <t>petramas prd</t>
  </si>
  <si>
    <t>:*b0:qu1</t>
  </si>
  <si>
    <t>quimpac dev</t>
  </si>
  <si>
    <t>:*b0:qu2</t>
  </si>
  <si>
    <t>quimpac qas</t>
  </si>
  <si>
    <t>:*b0:qu3</t>
  </si>
  <si>
    <t>quimpac prd</t>
  </si>
  <si>
    <t>:*b0:un1</t>
  </si>
  <si>
    <t>unacem dev</t>
  </si>
  <si>
    <t>:*b0:un2</t>
  </si>
  <si>
    <t>unacem qas</t>
  </si>
  <si>
    <t>:*b0:un3</t>
  </si>
  <si>
    <t>unacem prd</t>
  </si>
  <si>
    <t>:*b0:re1</t>
  </si>
  <si>
    <t>resemin dev</t>
  </si>
  <si>
    <t>:*b0:re2</t>
  </si>
  <si>
    <t>resemin qas</t>
  </si>
  <si>
    <t>:*b0:re3</t>
  </si>
  <si>
    <t>resemin prd</t>
  </si>
  <si>
    <t>:*b0:ro1</t>
  </si>
  <si>
    <t>rosado dev</t>
  </si>
  <si>
    <t>:*b0:ro2</t>
  </si>
  <si>
    <t>rosado qas</t>
  </si>
  <si>
    <t>:*b0:r21</t>
  </si>
  <si>
    <t>rosado2 dev</t>
  </si>
  <si>
    <t>:*b0:r22</t>
  </si>
  <si>
    <t>rosado2 qas</t>
  </si>
  <si>
    <t>:*b0:yi1</t>
  </si>
  <si>
    <t>yichang dev</t>
  </si>
  <si>
    <t>:*b0:yi2</t>
  </si>
  <si>
    <t>yichang qas</t>
  </si>
  <si>
    <t>:*b0:yi3</t>
  </si>
  <si>
    <t>yichang prd</t>
  </si>
  <si>
    <t>:*b0:os1</t>
  </si>
  <si>
    <t>osss dev</t>
  </si>
  <si>
    <t>:*b0:os3</t>
  </si>
  <si>
    <t>osss prd</t>
  </si>
  <si>
    <t>:*b0:om1</t>
  </si>
  <si>
    <t>omnia dev</t>
  </si>
  <si>
    <t>:*b0:om3</t>
  </si>
  <si>
    <t>omnia prd</t>
  </si>
  <si>
    <t>go.sap.logon(A_ThisLabel)</t>
  </si>
  <si>
    <t>+`</t>
  </si>
  <si>
    <t>go.run("A_saplogon")</t>
  </si>
  <si>
    <t>go.run("A_notion")</t>
  </si>
  <si>
    <t>go.run("A_wps")</t>
  </si>
  <si>
    <t>go.sap.logon("zomt_logon1")</t>
  </si>
  <si>
    <t>go.sap.logon("zomt_logon2")</t>
  </si>
  <si>
    <t>go.excel_sendctrlr("zomt_excel")</t>
  </si>
  <si>
    <t>+F2</t>
  </si>
  <si>
    <t>Send +{F2}</t>
  </si>
  <si>
    <t>d</t>
  </si>
  <si>
    <t>c</t>
  </si>
  <si>
    <t>+c</t>
  </si>
  <si>
    <t>^tab</t>
  </si>
  <si>
    <t>go.run("A_listary")</t>
  </si>
  <si>
    <t>+F4</t>
  </si>
  <si>
    <t>!n</t>
  </si>
  <si>
    <t>qas</t>
  </si>
  <si>
    <t>ymt</t>
  </si>
  <si>
    <t>ymg</t>
  </si>
  <si>
    <t>ymr</t>
  </si>
  <si>
    <t>se11</t>
  </si>
  <si>
    <t>se18</t>
  </si>
  <si>
    <t>se24</t>
  </si>
  <si>
    <t>se38</t>
  </si>
  <si>
    <t>se80</t>
  </si>
  <si>
    <t>se93</t>
  </si>
  <si>
    <t>scc1</t>
  </si>
  <si>
    <t>stms</t>
  </si>
  <si>
    <t>sost</t>
  </si>
  <si>
    <t>sq01</t>
  </si>
  <si>
    <t>sq02</t>
  </si>
  <si>
    <t>fb02</t>
  </si>
  <si>
    <t>fb03</t>
  </si>
  <si>
    <t>fb60</t>
  </si>
  <si>
    <t>me22n</t>
  </si>
  <si>
    <t>me23n</t>
  </si>
  <si>
    <t>me33k</t>
  </si>
  <si>
    <t>me42</t>
  </si>
  <si>
    <t>me43</t>
  </si>
  <si>
    <t>me52n</t>
  </si>
  <si>
    <t>ml81n</t>
  </si>
  <si>
    <t>migo</t>
  </si>
  <si>
    <t>miro</t>
  </si>
  <si>
    <t>mir4</t>
  </si>
  <si>
    <t>va01</t>
  </si>
  <si>
    <t>vf02</t>
  </si>
  <si>
    <t>vf03</t>
  </si>
  <si>
    <t>idcp</t>
  </si>
  <si>
    <t>iw33</t>
  </si>
  <si>
    <t>iw51</t>
  </si>
  <si>
    <t>iw53</t>
  </si>
  <si>
    <t>zosfe000</t>
  </si>
  <si>
    <t>zosfer01</t>
  </si>
  <si>
    <t>zosfer02</t>
  </si>
  <si>
    <t>zosfer03</t>
  </si>
  <si>
    <t>zosfer04</t>
  </si>
  <si>
    <t>zospell00</t>
  </si>
  <si>
    <t>zqm021</t>
  </si>
  <si>
    <t>zqm026</t>
  </si>
  <si>
    <t>ac1</t>
  </si>
  <si>
    <t>ac2</t>
  </si>
  <si>
    <t>ac3</t>
  </si>
  <si>
    <t>ai1</t>
  </si>
  <si>
    <t>ai2</t>
  </si>
  <si>
    <t>ai3</t>
  </si>
  <si>
    <t>au1</t>
  </si>
  <si>
    <t>au2</t>
  </si>
  <si>
    <t>au3</t>
  </si>
  <si>
    <t>be1</t>
  </si>
  <si>
    <t>be2</t>
  </si>
  <si>
    <t>be3</t>
  </si>
  <si>
    <t>c21</t>
  </si>
  <si>
    <t>c22</t>
  </si>
  <si>
    <t>ce1</t>
  </si>
  <si>
    <t>ce2</t>
  </si>
  <si>
    <t>ce3</t>
  </si>
  <si>
    <t>ch1</t>
  </si>
  <si>
    <t>ch2</t>
  </si>
  <si>
    <t>ch3</t>
  </si>
  <si>
    <t>cm1</t>
  </si>
  <si>
    <t>cm2</t>
  </si>
  <si>
    <t>cm3</t>
  </si>
  <si>
    <t>da1</t>
  </si>
  <si>
    <t>da2</t>
  </si>
  <si>
    <t>da3</t>
  </si>
  <si>
    <t>ex1</t>
  </si>
  <si>
    <t>ex2</t>
  </si>
  <si>
    <t>ex3</t>
  </si>
  <si>
    <t>em1</t>
  </si>
  <si>
    <t>em2</t>
  </si>
  <si>
    <t>em3</t>
  </si>
  <si>
    <t>id1</t>
  </si>
  <si>
    <t>in1</t>
  </si>
  <si>
    <t>in2</t>
  </si>
  <si>
    <t>in3</t>
  </si>
  <si>
    <t>il1</t>
  </si>
  <si>
    <t>il2</t>
  </si>
  <si>
    <t>il3</t>
  </si>
  <si>
    <t>ip1</t>
  </si>
  <si>
    <t>ip2</t>
  </si>
  <si>
    <t>ip3</t>
  </si>
  <si>
    <t>ga1</t>
  </si>
  <si>
    <t>ga2</t>
  </si>
  <si>
    <t>ga3</t>
  </si>
  <si>
    <t>gq1</t>
  </si>
  <si>
    <t>gq2</t>
  </si>
  <si>
    <t>gq3</t>
  </si>
  <si>
    <t>km1</t>
  </si>
  <si>
    <t>km2</t>
  </si>
  <si>
    <t>km3</t>
  </si>
  <si>
    <t>mi1</t>
  </si>
  <si>
    <t>mi2</t>
  </si>
  <si>
    <t>mi3</t>
  </si>
  <si>
    <t>me1</t>
  </si>
  <si>
    <t>me2</t>
  </si>
  <si>
    <t>me3</t>
  </si>
  <si>
    <t>mo1</t>
  </si>
  <si>
    <t>mo2</t>
  </si>
  <si>
    <t>mo3</t>
  </si>
  <si>
    <t>ml1</t>
  </si>
  <si>
    <t>ml2</t>
  </si>
  <si>
    <t>ml3</t>
  </si>
  <si>
    <t>na1</t>
  </si>
  <si>
    <t>na2</t>
  </si>
  <si>
    <t>na3</t>
  </si>
  <si>
    <t>nb1</t>
  </si>
  <si>
    <t>pe1</t>
  </si>
  <si>
    <t>pe2</t>
  </si>
  <si>
    <t>pe3</t>
  </si>
  <si>
    <t>pi1</t>
  </si>
  <si>
    <t>pi2</t>
  </si>
  <si>
    <t>pi3</t>
  </si>
  <si>
    <t>pt1</t>
  </si>
  <si>
    <t>pt2</t>
  </si>
  <si>
    <t>pt3</t>
  </si>
  <si>
    <t>qu1</t>
  </si>
  <si>
    <t>qu2</t>
  </si>
  <si>
    <t>qu3</t>
  </si>
  <si>
    <t>un1</t>
  </si>
  <si>
    <t>un2</t>
  </si>
  <si>
    <t>un3</t>
  </si>
  <si>
    <t>re1</t>
  </si>
  <si>
    <t>re2</t>
  </si>
  <si>
    <t>re3</t>
  </si>
  <si>
    <t>ro1</t>
  </si>
  <si>
    <t>ro2</t>
  </si>
  <si>
    <t>r21</t>
  </si>
  <si>
    <t>r22</t>
  </si>
  <si>
    <t>yi1</t>
  </si>
  <si>
    <t>yi2</t>
  </si>
  <si>
    <t>yi3</t>
  </si>
  <si>
    <t>os1</t>
  </si>
  <si>
    <t>os3</t>
  </si>
  <si>
    <t>om1</t>
  </si>
  <si>
    <t>om3</t>
  </si>
  <si>
    <t>A_zosss004</t>
  </si>
  <si>
    <t>Eclipse</t>
  </si>
  <si>
    <t>go.eclipse_search()</t>
  </si>
  <si>
    <t>$^.</t>
  </si>
  <si>
    <t>$^,</t>
  </si>
  <si>
    <t>go.eclipse_search("^,")</t>
  </si>
  <si>
    <t>go.eclipse_search("^.")</t>
  </si>
  <si>
    <t>$F3</t>
  </si>
  <si>
    <t>$+F3</t>
  </si>
  <si>
    <t>$F2</t>
  </si>
  <si>
    <t>:*b0:sm12</t>
  </si>
  <si>
    <t>:*b0:yfe</t>
  </si>
  <si>
    <t>::"U</t>
  </si>
  <si>
    <t>::*U</t>
  </si>
  <si>
    <t>zomt_logon3</t>
  </si>
  <si>
    <t>:*b0:zosfe004</t>
  </si>
  <si>
    <t>go.sap.tcode("zosfe000")</t>
  </si>
  <si>
    <t>go.sap.tcodebutton("zosfe004","","=BT_DOC")</t>
  </si>
  <si>
    <t>onenote.exe</t>
  </si>
  <si>
    <t>Send ^{e}</t>
  </si>
  <si>
    <t>XButton1</t>
  </si>
  <si>
    <t>XButton2</t>
  </si>
  <si>
    <t>Notion</t>
  </si>
  <si>
    <t>NumpadDiv</t>
  </si>
  <si>
    <t>NumpadAdd</t>
  </si>
  <si>
    <t>NumpadSub</t>
  </si>
  <si>
    <t>NumpadMult</t>
  </si>
  <si>
    <t>Teams</t>
  </si>
  <si>
    <t>:*b0:iw32</t>
  </si>
  <si>
    <t>:*:;;</t>
  </si>
  <si>
    <t>onenote-cmd://</t>
  </si>
  <si>
    <t>OneNote for Windows 10</t>
  </si>
  <si>
    <t>A_f1</t>
  </si>
  <si>
    <t>{F1}</t>
  </si>
  <si>
    <t>A_vscode</t>
  </si>
  <si>
    <t>D:\nt\cloud\OneDrive\Ap\Apps\Abap\</t>
  </si>
  <si>
    <t>D:\nt\cloud\Mega\Music</t>
  </si>
  <si>
    <t>Send !+{E}</t>
  </si>
  <si>
    <t>C:\Users\ntinco-G4\AppData\Local\Programs\Notion\Notion.exe</t>
  </si>
  <si>
    <t>%A_onedrivedir%</t>
  </si>
  <si>
    <t>%A_onedrivedir%\Au\Apps\XYplorer\XYplorer.exe</t>
  </si>
  <si>
    <t>go.chrome_registroot()</t>
  </si>
  <si>
    <t>:*b0:me54n</t>
  </si>
  <si>
    <t>:*b0:swia</t>
  </si>
  <si>
    <t>:*b0:swus</t>
  </si>
  <si>
    <t>:*b0:pftc</t>
  </si>
  <si>
    <t>backend</t>
  </si>
  <si>
    <t>frontend</t>
  </si>
  <si>
    <t>:*b0:su53</t>
  </si>
  <si>
    <t>:*b0:sicf</t>
  </si>
  <si>
    <t>:*b0:segw</t>
  </si>
  <si>
    <t>:*b0:pfcg</t>
  </si>
  <si>
    <t>:*b0:/n/iwfnd/maint_service</t>
  </si>
  <si>
    <t>:*b0:/n/iwfnd/gw_client</t>
  </si>
  <si>
    <t>service ui5 y odata</t>
  </si>
  <si>
    <t>odata registration</t>
  </si>
  <si>
    <t>odata create</t>
  </si>
  <si>
    <t>odata test</t>
  </si>
  <si>
    <t>semantic objects</t>
  </si>
  <si>
    <t>role</t>
  </si>
  <si>
    <t>/UI5/UI5_REPOSITORY_LOAD</t>
  </si>
  <si>
    <t>ui5 source</t>
  </si>
  <si>
    <t>Log por usuario</t>
  </si>
  <si>
    <t>:*b0:sm20</t>
  </si>
  <si>
    <t>:*:n2</t>
  </si>
  <si>
    <t>zomt_desc2</t>
  </si>
  <si>
    <t>Send {Printscreen}</t>
  </si>
  <si>
    <t>:*b0:suim</t>
  </si>
  <si>
    <t>Busqueda autorizacion</t>
  </si>
  <si>
    <t>:*b0:/n/ui2/semobj</t>
  </si>
  <si>
    <t>:*b0:swo1</t>
  </si>
  <si>
    <t>wf bus</t>
  </si>
  <si>
    <t>wf monitor user</t>
  </si>
  <si>
    <t>:*b0:swpr</t>
  </si>
  <si>
    <t>:*b0:/n/iwbep/error_log</t>
  </si>
  <si>
    <t>:*b0:/n/iwfnd/error_log</t>
  </si>
  <si>
    <t>cache</t>
  </si>
  <si>
    <t>:*b0:c31</t>
  </si>
  <si>
    <t>:*b0:c32</t>
  </si>
  <si>
    <t>c3e3 dev 200</t>
  </si>
  <si>
    <t>c3e3 dev 250</t>
  </si>
  <si>
    <t>^!{h}</t>
  </si>
  <si>
    <t>Kill</t>
  </si>
  <si>
    <t>Saplogon</t>
  </si>
  <si>
    <t>Drive</t>
  </si>
  <si>
    <t>Variables</t>
  </si>
  <si>
    <t>zomt_fTicket2</t>
  </si>
  <si>
    <t>zomt_dModulo</t>
  </si>
  <si>
    <t>zomt_dEmpresa</t>
  </si>
  <si>
    <t>^Fx</t>
  </si>
  <si>
    <t>+Fx</t>
  </si>
  <si>
    <t>!Fx</t>
  </si>
  <si>
    <t>Send +{F12}</t>
  </si>
  <si>
    <t>^F12</t>
  </si>
  <si>
    <t>go.everything_savecontent()</t>
  </si>
  <si>
    <t>Send !{esc}</t>
  </si>
  <si>
    <t>:*b0:vofm</t>
  </si>
  <si>
    <t>go.word_resize_paste()</t>
  </si>
  <si>
    <t>~^v</t>
  </si>
  <si>
    <t xml:space="preserve">:*b0:qas </t>
  </si>
  <si>
    <t>#1</t>
  </si>
  <si>
    <t>#2</t>
  </si>
  <si>
    <t>#3</t>
  </si>
  <si>
    <t>#4</t>
  </si>
  <si>
    <t>#5</t>
  </si>
  <si>
    <t>~^c</t>
  </si>
  <si>
    <t>$`</t>
  </si>
  <si>
    <t>right</t>
  </si>
  <si>
    <t>Send {esc}</t>
  </si>
  <si>
    <t>Sap Access</t>
  </si>
  <si>
    <t>:*b0:su24</t>
  </si>
  <si>
    <t>Roles por transaccion</t>
  </si>
  <si>
    <t>Typing_Assistant64.exe</t>
  </si>
  <si>
    <t>WinClipAPI.ahk</t>
  </si>
  <si>
    <t>^+tab</t>
  </si>
  <si>
    <t>wf edit</t>
  </si>
  <si>
    <t>wf monitor error</t>
  </si>
  <si>
    <t>wf monitor main</t>
  </si>
  <si>
    <t>:*b0:swels</t>
  </si>
  <si>
    <t>:*b0:swel</t>
  </si>
  <si>
    <t>wf trace active</t>
  </si>
  <si>
    <t>wf trace</t>
  </si>
  <si>
    <t>:*b0:swu_obuf</t>
  </si>
  <si>
    <t>wf clear</t>
  </si>
  <si>
    <t>wf manual</t>
  </si>
  <si>
    <t>/n/iwfnd/error_log</t>
  </si>
  <si>
    <t>/n/iwbep/error_log</t>
  </si>
  <si>
    <t>/n/ui2/semobj</t>
  </si>
  <si>
    <t>:*b0:/n/iwbep/cache_cleanup</t>
  </si>
  <si>
    <t>/n/iwbep/cache_cleanup</t>
  </si>
  <si>
    <t>/UI2/INVALIDATE_CLIENT_CACHES</t>
  </si>
  <si>
    <t>/UI2/INVALIDATE_GLOBAL_CACHES</t>
  </si>
  <si>
    <t>^+n</t>
  </si>
  <si>
    <t>^+p</t>
  </si>
  <si>
    <t>:*b0:swi5</t>
  </si>
  <si>
    <t>ahk_exe Dreamweaver.exe</t>
  </si>
  <si>
    <t>Dreamweaver</t>
  </si>
  <si>
    <t>RemNote.exe</t>
  </si>
  <si>
    <t>ahk_exe everything.exe</t>
  </si>
  <si>
    <t>ahk_exe listary.exe</t>
  </si>
  <si>
    <t>:*b0:vs</t>
  </si>
  <si>
    <t>:*b0:cmd</t>
  </si>
  <si>
    <t>:*b0:os4</t>
  </si>
  <si>
    <t>:*b0:os5</t>
  </si>
  <si>
    <t>:*b0:owt</t>
  </si>
  <si>
    <t>:*b0:mus</t>
  </si>
  <si>
    <t>:*b0:nau</t>
  </si>
  <si>
    <t>:*b0:ost</t>
  </si>
  <si>
    <t>:*b0:oft</t>
  </si>
  <si>
    <t>:*b0:odm</t>
  </si>
  <si>
    <t>:*b0:ode</t>
  </si>
  <si>
    <t>gr_launcher</t>
  </si>
  <si>
    <t>A_remnote</t>
  </si>
  <si>
    <t>C:\Users\ntinco-G4\AppData\Local\Programs\RemNote\RemNote.exe</t>
  </si>
  <si>
    <t>gr_shortcut</t>
  </si>
  <si>
    <t>D:\nt\cloud\OneDrive\Ap\Apps\Ahk\App_omnia\omt.ini</t>
  </si>
  <si>
    <t>D:\NT\Cloud\OneDrive\Ap\Apps\Ahk\App_saplogon\Login\Prd\osss prd zosss004.ahk</t>
  </si>
  <si>
    <t>D:\NT\Cloud\OneDrive\Ap\Apps\Ahk\App_saplogon\Login\Prd\osss prd zosss005.ahk</t>
  </si>
  <si>
    <t>Volumen</t>
  </si>
  <si>
    <t>$!`</t>
  </si>
  <si>
    <t>eclipse</t>
  </si>
  <si>
    <t>#*</t>
  </si>
  <si>
    <t>!*</t>
  </si>
  <si>
    <t>F9</t>
  </si>
  <si>
    <t>F8</t>
  </si>
  <si>
    <t>F7</t>
  </si>
  <si>
    <t>Send {F6}</t>
  </si>
  <si>
    <t>Send {F7}</t>
  </si>
  <si>
    <t>Send {F8}</t>
  </si>
  <si>
    <t>Send {F9}</t>
  </si>
  <si>
    <t>$F6</t>
  </si>
  <si>
    <t>$F7</t>
  </si>
  <si>
    <t>$F8</t>
  </si>
  <si>
    <t>$F9</t>
  </si>
  <si>
    <t>$F10</t>
  </si>
  <si>
    <t>$F11</t>
  </si>
  <si>
    <t>$F12</t>
  </si>
  <si>
    <t xml:space="preserve">:: </t>
  </si>
  <si>
    <t xml:space="preserve"> +F2</t>
  </si>
  <si>
    <t xml:space="preserve"> $+F2</t>
  </si>
  <si>
    <t xml:space="preserve"> $+F6</t>
  </si>
  <si>
    <t xml:space="preserve"> $+F7</t>
  </si>
  <si>
    <t xml:space="preserve"> $+F8</t>
  </si>
  <si>
    <t xml:space="preserve"> $+F9</t>
  </si>
  <si>
    <t xml:space="preserve"> +F4</t>
  </si>
  <si>
    <t xml:space="preserve"> +F5</t>
  </si>
  <si>
    <t xml:space="preserve"> $+F3</t>
  </si>
  <si>
    <t xml:space="preserve"> $+F4</t>
  </si>
  <si>
    <t xml:space="preserve"> $+F5</t>
  </si>
  <si>
    <t xml:space="preserve"> $+F10</t>
  </si>
  <si>
    <t xml:space="preserve"> $+F11</t>
  </si>
  <si>
    <t xml:space="preserve"> $+F12</t>
  </si>
  <si>
    <t>Send {F3}</t>
  </si>
  <si>
    <t>Send {F10}</t>
  </si>
  <si>
    <t>Send {F11}</t>
  </si>
  <si>
    <t>Send {F12}</t>
  </si>
  <si>
    <t>$F4</t>
  </si>
  <si>
    <t>$F5</t>
  </si>
  <si>
    <t>go.clipboard_savelog()</t>
  </si>
  <si>
    <t>^!1</t>
  </si>
  <si>
    <t>!2</t>
  </si>
  <si>
    <t>!F1</t>
  </si>
  <si>
    <t>!F2</t>
  </si>
  <si>
    <t>!F3</t>
  </si>
  <si>
    <t>!^F1</t>
  </si>
  <si>
    <t>!^F2</t>
  </si>
  <si>
    <t>!^F3</t>
  </si>
  <si>
    <t>A_groupy</t>
  </si>
  <si>
    <t>D:\NT\Cloud\OneDrive\Ap\Apps\Ahk\App_apps\A_groupy.ahk</t>
  </si>
  <si>
    <t>go.sap.tcodebutton("YMT","YMT","=BTN2B","")</t>
  </si>
  <si>
    <t>go.sap.tcodebutton("/oYMT","YMT","=BTN2B","")</t>
  </si>
  <si>
    <t>go.sap.tcodebutton("YMT","YMT","=BTN3B","")</t>
  </si>
  <si>
    <t>^+1</t>
  </si>
  <si>
    <t>^+3</t>
  </si>
  <si>
    <t>^+4</t>
  </si>
  <si>
    <t>^+6</t>
  </si>
  <si>
    <t>^+7</t>
  </si>
  <si>
    <t>^+8</t>
  </si>
  <si>
    <t>^+0</t>
  </si>
  <si>
    <t>go.sap.tcode("-se11")</t>
  </si>
  <si>
    <t>go.sap.tcode("-se93")</t>
  </si>
  <si>
    <t>go.sap.tcode("-se24")</t>
  </si>
  <si>
    <t>go.sap.tcode("-se16n")</t>
  </si>
  <si>
    <t>go.sap.tcode("-se37")</t>
  </si>
  <si>
    <t>go.sap.tcode("-se38")</t>
  </si>
  <si>
    <t>go.sap.tcode("-se80")</t>
  </si>
  <si>
    <t>30.12.2020</t>
  </si>
  <si>
    <t>C:\Users\ntinco-G4\AppData\Local\Microsoft\Teams\current\Teams.exe</t>
  </si>
  <si>
    <t>gr_shortcut_app</t>
  </si>
  <si>
    <t>A_everything_hs</t>
  </si>
  <si>
    <t>^!z</t>
  </si>
  <si>
    <t>Send ^{/}</t>
  </si>
  <si>
    <t>go.sound_toogle()</t>
  </si>
  <si>
    <t>go.sap.run_drive("\Ap\Apps\Ahk\App_saplogon\Vpn\",A_ThisLabel,".ahk")</t>
  </si>
  <si>
    <t>:*b0:aid</t>
  </si>
  <si>
    <t>:*b0:emd</t>
  </si>
  <si>
    <t>:*b0:ild</t>
  </si>
  <si>
    <t>:*b0:red</t>
  </si>
  <si>
    <t>:*b0:acd</t>
  </si>
  <si>
    <t xml:space="preserve">acfarma </t>
  </si>
  <si>
    <t xml:space="preserve">aib </t>
  </si>
  <si>
    <t>:*b0:aud</t>
  </si>
  <si>
    <t xml:space="preserve">austral </t>
  </si>
  <si>
    <t>:*b0:bed</t>
  </si>
  <si>
    <t xml:space="preserve">beta </t>
  </si>
  <si>
    <t>:*b0:c2d</t>
  </si>
  <si>
    <t>:*b0:ced</t>
  </si>
  <si>
    <t xml:space="preserve">cew </t>
  </si>
  <si>
    <t>:*b0:chd</t>
  </si>
  <si>
    <t xml:space="preserve">chilca </t>
  </si>
  <si>
    <t xml:space="preserve">cmh </t>
  </si>
  <si>
    <t>:*b0:dad</t>
  </si>
  <si>
    <t xml:space="preserve">danper </t>
  </si>
  <si>
    <t>:*b0:exd</t>
  </si>
  <si>
    <t xml:space="preserve">exalmar </t>
  </si>
  <si>
    <t xml:space="preserve">emergent </t>
  </si>
  <si>
    <t>:*b0:idd</t>
  </si>
  <si>
    <t xml:space="preserve">ides </t>
  </si>
  <si>
    <t>:*b0:ind</t>
  </si>
  <si>
    <t xml:space="preserve">inka </t>
  </si>
  <si>
    <t xml:space="preserve">ilender </t>
  </si>
  <si>
    <t>:*b0:ipd</t>
  </si>
  <si>
    <t xml:space="preserve">ipesa </t>
  </si>
  <si>
    <t>:*b0:gad</t>
  </si>
  <si>
    <t xml:space="preserve">gandules </t>
  </si>
  <si>
    <t>:*b0:gqd</t>
  </si>
  <si>
    <t xml:space="preserve">gqc </t>
  </si>
  <si>
    <t>:*b0:kmd</t>
  </si>
  <si>
    <t xml:space="preserve">kmmp </t>
  </si>
  <si>
    <t>:*b0:mid</t>
  </si>
  <si>
    <t xml:space="preserve">minsur </t>
  </si>
  <si>
    <t>:*b0:med</t>
  </si>
  <si>
    <t xml:space="preserve">medrock </t>
  </si>
  <si>
    <t>:*b0:mod</t>
  </si>
  <si>
    <t xml:space="preserve">modasa </t>
  </si>
  <si>
    <t>:*b0:mld</t>
  </si>
  <si>
    <t xml:space="preserve">molicop </t>
  </si>
  <si>
    <t>:*b0:nad</t>
  </si>
  <si>
    <t xml:space="preserve">naviera </t>
  </si>
  <si>
    <t>:*b0:nbd</t>
  </si>
  <si>
    <t xml:space="preserve">nbtel </t>
  </si>
  <si>
    <t>:*b0:ped</t>
  </si>
  <si>
    <t xml:space="preserve">pedregal </t>
  </si>
  <si>
    <t>:*b0:pid</t>
  </si>
  <si>
    <t xml:space="preserve">piramide </t>
  </si>
  <si>
    <t>:*b0:ptd</t>
  </si>
  <si>
    <t xml:space="preserve">petramas </t>
  </si>
  <si>
    <t>:*b0:qud</t>
  </si>
  <si>
    <t xml:space="preserve">quimpac </t>
  </si>
  <si>
    <t>:*b0:und</t>
  </si>
  <si>
    <t xml:space="preserve">unacem </t>
  </si>
  <si>
    <t xml:space="preserve">resemin </t>
  </si>
  <si>
    <t>:*b0:rod</t>
  </si>
  <si>
    <t xml:space="preserve">rosado </t>
  </si>
  <si>
    <t>:*b0:yid</t>
  </si>
  <si>
    <t xml:space="preserve">yichang </t>
  </si>
  <si>
    <t>go.sap.run_drive("\PARA\2Area\Om module\",A_ThisLabel,".docx")</t>
  </si>
  <si>
    <t>c2e2</t>
  </si>
  <si>
    <t>fi</t>
  </si>
  <si>
    <t>sd</t>
  </si>
  <si>
    <t>mm</t>
  </si>
  <si>
    <t>co</t>
  </si>
  <si>
    <t>pp</t>
  </si>
  <si>
    <t>pm</t>
  </si>
  <si>
    <t>:*b0:fid</t>
  </si>
  <si>
    <t>:*b0:sdd</t>
  </si>
  <si>
    <t>:*b0:mmd</t>
  </si>
  <si>
    <t>:*b0:cod</t>
  </si>
  <si>
    <t>:*b0:ppd</t>
  </si>
  <si>
    <t>:*b0:pmd</t>
  </si>
  <si>
    <t>:*b0:fed</t>
  </si>
  <si>
    <t>:*b0:fad</t>
  </si>
  <si>
    <t>:*b0:lld</t>
  </si>
  <si>
    <t>:*b0:fis</t>
  </si>
  <si>
    <t>:*b0:sds</t>
  </si>
  <si>
    <t>:*b0:mms</t>
  </si>
  <si>
    <t>:*b0:cos</t>
  </si>
  <si>
    <t>:*b0:pps</t>
  </si>
  <si>
    <t>:*b0:pms</t>
  </si>
  <si>
    <t>:*b0:fes</t>
  </si>
  <si>
    <t>:*b0:fas</t>
  </si>
  <si>
    <t>:*b0:lls</t>
  </si>
  <si>
    <t>go.sap.run_drive("\PARA\2Area\Om module\",A_ThisLabel,".xlsx")</t>
  </si>
  <si>
    <t>go.sap.run_drive("\PARA\2Area\Om cliente\",A_ThisLabel,".docx")</t>
  </si>
  <si>
    <t>uu</t>
  </si>
  <si>
    <t>rr</t>
  </si>
  <si>
    <t>ee</t>
  </si>
  <si>
    <t>ss</t>
  </si>
  <si>
    <t>ii</t>
  </si>
  <si>
    <t>ll</t>
  </si>
  <si>
    <t>c31</t>
  </si>
  <si>
    <t>c32</t>
  </si>
  <si>
    <t>ai4</t>
  </si>
  <si>
    <t>em4</t>
  </si>
  <si>
    <t>il4</t>
  </si>
  <si>
    <t>re4</t>
  </si>
  <si>
    <t>acd</t>
  </si>
  <si>
    <t>aid</t>
  </si>
  <si>
    <t>aud</t>
  </si>
  <si>
    <t>bed</t>
  </si>
  <si>
    <t>c2d</t>
  </si>
  <si>
    <t>ced</t>
  </si>
  <si>
    <t>chd</t>
  </si>
  <si>
    <t>dad</t>
  </si>
  <si>
    <t>exd</t>
  </si>
  <si>
    <t>emd</t>
  </si>
  <si>
    <t>idd</t>
  </si>
  <si>
    <t>ind</t>
  </si>
  <si>
    <t>ild</t>
  </si>
  <si>
    <t>ipd</t>
  </si>
  <si>
    <t>gad</t>
  </si>
  <si>
    <t>gqd</t>
  </si>
  <si>
    <t>kmd</t>
  </si>
  <si>
    <t>mid</t>
  </si>
  <si>
    <t>med</t>
  </si>
  <si>
    <t>mod</t>
  </si>
  <si>
    <t>mld</t>
  </si>
  <si>
    <t>nad</t>
  </si>
  <si>
    <t>nbd</t>
  </si>
  <si>
    <t>ped</t>
  </si>
  <si>
    <t>pid</t>
  </si>
  <si>
    <t>ptd</t>
  </si>
  <si>
    <t>qud</t>
  </si>
  <si>
    <t>und</t>
  </si>
  <si>
    <t>red</t>
  </si>
  <si>
    <t>rod</t>
  </si>
  <si>
    <t>yid</t>
  </si>
  <si>
    <t>fid</t>
  </si>
  <si>
    <t>sdd</t>
  </si>
  <si>
    <t>mmd</t>
  </si>
  <si>
    <t>cod</t>
  </si>
  <si>
    <t>ppd</t>
  </si>
  <si>
    <t>pmd</t>
  </si>
  <si>
    <t>fed</t>
  </si>
  <si>
    <t>fad</t>
  </si>
  <si>
    <t>lld</t>
  </si>
  <si>
    <t>fis</t>
  </si>
  <si>
    <t>sds</t>
  </si>
  <si>
    <t>mms</t>
  </si>
  <si>
    <t>cos</t>
  </si>
  <si>
    <t>pps</t>
  </si>
  <si>
    <t>pms</t>
  </si>
  <si>
    <t>fes</t>
  </si>
  <si>
    <t>fas</t>
  </si>
  <si>
    <t>lls</t>
  </si>
  <si>
    <t>nau</t>
  </si>
  <si>
    <t>go.run("Ne_auto")</t>
  </si>
  <si>
    <t>ost</t>
  </si>
  <si>
    <t>go.run("zomt_excel")</t>
  </si>
  <si>
    <t>oft</t>
  </si>
  <si>
    <t>go.run("zomt_fTicket2")</t>
  </si>
  <si>
    <t>odm</t>
  </si>
  <si>
    <t>go.run("zomt_dModulo")</t>
  </si>
  <si>
    <t>ode</t>
  </si>
  <si>
    <t>go.run("zomt_dEmpresa")</t>
  </si>
  <si>
    <t>mus</t>
  </si>
  <si>
    <t>go.run("Nf_music")</t>
  </si>
  <si>
    <t>os4</t>
  </si>
  <si>
    <t>go.run("A_zosss004")</t>
  </si>
  <si>
    <t>os5</t>
  </si>
  <si>
    <t>go.run("A_zosss005")</t>
  </si>
  <si>
    <t>kill</t>
  </si>
  <si>
    <t>go.run("A_killsap")</t>
  </si>
  <si>
    <t>acc</t>
  </si>
  <si>
    <t>go.run("A_access")</t>
  </si>
  <si>
    <t>aim</t>
  </si>
  <si>
    <t>go.run("A_aimp")</t>
  </si>
  <si>
    <t>chr</t>
  </si>
  <si>
    <t>go.run("A_chrome")</t>
  </si>
  <si>
    <t>go.run("A_cmd")</t>
  </si>
  <si>
    <t>ecl</t>
  </si>
  <si>
    <t>go.run("A_eclipse")</t>
  </si>
  <si>
    <t>edg</t>
  </si>
  <si>
    <t>go.run("A_edge")</t>
  </si>
  <si>
    <t>exc</t>
  </si>
  <si>
    <t>go.run("A_excel")</t>
  </si>
  <si>
    <t>exp</t>
  </si>
  <si>
    <t>go.run("A_explorer")</t>
  </si>
  <si>
    <t>fir</t>
  </si>
  <si>
    <t>go.run("A_firefox")</t>
  </si>
  <si>
    <t>no1</t>
  </si>
  <si>
    <t>go.run("A_notepad")</t>
  </si>
  <si>
    <t>no2</t>
  </si>
  <si>
    <t>go.run("A_notepad2")</t>
  </si>
  <si>
    <t>not</t>
  </si>
  <si>
    <t>one</t>
  </si>
  <si>
    <t>go.run("A_onenote")</t>
  </si>
  <si>
    <t>out</t>
  </si>
  <si>
    <t>go.run("A_outlook")</t>
  </si>
  <si>
    <t>pow</t>
  </si>
  <si>
    <t>go.run("A_powerpoint")</t>
  </si>
  <si>
    <t>sap</t>
  </si>
  <si>
    <t>sna</t>
  </si>
  <si>
    <t>go.run("A_snagit")</t>
  </si>
  <si>
    <t>spy</t>
  </si>
  <si>
    <t>go.run("A_spy")</t>
  </si>
  <si>
    <t>task</t>
  </si>
  <si>
    <t>go.run("A_taskmanager")</t>
  </si>
  <si>
    <t>tea</t>
  </si>
  <si>
    <t>go.run("A_teams")</t>
  </si>
  <si>
    <t>vis</t>
  </si>
  <si>
    <t>go.run("A_visualtime")</t>
  </si>
  <si>
    <t>vs</t>
  </si>
  <si>
    <t>go.run("A_vscode")</t>
  </si>
  <si>
    <t>wor</t>
  </si>
  <si>
    <t>go.run("A_word")</t>
  </si>
  <si>
    <t>xyp</t>
  </si>
  <si>
    <t>go.run("A_xyplorer")</t>
  </si>
  <si>
    <t>fe0</t>
  </si>
  <si>
    <t>fe4</t>
  </si>
  <si>
    <t>yfe</t>
  </si>
  <si>
    <t>sm12</t>
  </si>
  <si>
    <t>sm30</t>
  </si>
  <si>
    <t>st22</t>
  </si>
  <si>
    <t>swo1</t>
  </si>
  <si>
    <t>pftc</t>
  </si>
  <si>
    <t>swus</t>
  </si>
  <si>
    <t>swia</t>
  </si>
  <si>
    <t>swi5</t>
  </si>
  <si>
    <t>swpr</t>
  </si>
  <si>
    <t>swels</t>
  </si>
  <si>
    <t>swel</t>
  </si>
  <si>
    <t>swu_obuf</t>
  </si>
  <si>
    <t>sicf</t>
  </si>
  <si>
    <t>segw</t>
  </si>
  <si>
    <t>pfcg</t>
  </si>
  <si>
    <t>sm20</t>
  </si>
  <si>
    <t>suim</t>
  </si>
  <si>
    <t>su24</t>
  </si>
  <si>
    <t>su53</t>
  </si>
  <si>
    <t>me54n</t>
  </si>
  <si>
    <t>vofm</t>
  </si>
  <si>
    <t>iw32</t>
  </si>
  <si>
    <t>zosfe004</t>
  </si>
  <si>
    <t>go.sap.logon("zomt_logon3")</t>
  </si>
  <si>
    <t>"ñ","","backspace"</t>
  </si>
  <si>
    <t>zomt_logon0</t>
  </si>
  <si>
    <t>!F5</t>
  </si>
  <si>
    <t>!F6</t>
  </si>
  <si>
    <t>!F7</t>
  </si>
  <si>
    <t>Carpeta del ticket</t>
  </si>
  <si>
    <t>Excel automate</t>
  </si>
  <si>
    <t>Excel control time</t>
  </si>
  <si>
    <t>!F8</t>
  </si>
  <si>
    <t>!F9</t>
  </si>
  <si>
    <t>!F10</t>
  </si>
  <si>
    <t>!F11</t>
  </si>
  <si>
    <t>!F12</t>
  </si>
  <si>
    <t>:*b0:ose</t>
  </si>
  <si>
    <t>Excel de la empresa</t>
  </si>
  <si>
    <t>Doc de la empresa</t>
  </si>
  <si>
    <t>Doc del modulo</t>
  </si>
  <si>
    <t>zomt_sEmpresa</t>
  </si>
  <si>
    <t>#ESC</t>
  </si>
  <si>
    <t>ahk_class XLMAIN</t>
  </si>
  <si>
    <t>gr_launcher_hs</t>
  </si>
  <si>
    <t>gr_launcher_app</t>
  </si>
  <si>
    <t>go.snipasteauto_ticket()</t>
  </si>
  <si>
    <t>#F1</t>
  </si>
  <si>
    <t>#F2</t>
  </si>
  <si>
    <t>#F3</t>
  </si>
  <si>
    <t>:*:d2</t>
  </si>
  <si>
    <t>A_day_en</t>
  </si>
  <si>
    <t>:*:n3</t>
  </si>
  <si>
    <t>zomt_desc3</t>
  </si>
  <si>
    <t>ESC</t>
  </si>
  <si>
    <t>ahk_exe remnote.exe</t>
  </si>
  <si>
    <t>send {esc}</t>
  </si>
  <si>
    <t>send ^{f}</t>
  </si>
  <si>
    <t>sleep 300</t>
  </si>
  <si>
    <t>http://osss.omniasolution.com:8093/Planificacion/GestionarPlanificacion</t>
  </si>
  <si>
    <t>go.chrome_opensearch()</t>
  </si>
  <si>
    <t>^!{q}</t>
  </si>
  <si>
    <t>A_everything_code</t>
  </si>
  <si>
    <t>sublime_text.exe</t>
  </si>
  <si>
    <t>Send ^{r}</t>
  </si>
  <si>
    <t>Send ^+{r}</t>
  </si>
  <si>
    <t>Desarrollo</t>
  </si>
  <si>
    <t>ahk_exe Sublime_text.exe</t>
  </si>
  <si>
    <t>A_sublime</t>
  </si>
  <si>
    <t>C:\Program Files\Sublime Text 3\sublime_text.exe</t>
  </si>
  <si>
    <t>ahk_exe sublime_text.exe</t>
  </si>
  <si>
    <t>+F12</t>
  </si>
  <si>
    <t>:*:d3</t>
  </si>
  <si>
    <t>go.everything_editsnippet()</t>
  </si>
  <si>
    <t>go.everything_copysnippet()</t>
  </si>
  <si>
    <t>go.everything_savesnippet()</t>
  </si>
  <si>
    <t>^p</t>
  </si>
  <si>
    <t>^n</t>
  </si>
  <si>
    <t>https://osss.omniasolution.com:8090/en/#/inicio/consulta-ticket</t>
  </si>
  <si>
    <t>^o</t>
  </si>
  <si>
    <t>https://osss.omniasolution.com/(S(psg4o5riybusqjv5s2lyna45))/login.aspx</t>
  </si>
  <si>
    <t>Reporte de Horas</t>
  </si>
  <si>
    <t>:*b0:ch</t>
  </si>
  <si>
    <t>:*b0:ed</t>
  </si>
  <si>
    <t>:*b0:ex</t>
  </si>
  <si>
    <t>:*b0:fo</t>
  </si>
  <si>
    <t>:*b0:fi</t>
  </si>
  <si>
    <t>:*b0:ou</t>
  </si>
  <si>
    <t>:*b0:sa</t>
  </si>
  <si>
    <t>:*b0:te</t>
  </si>
  <si>
    <t>:*b0:vi</t>
  </si>
  <si>
    <t>:*b0:wo</t>
  </si>
  <si>
    <t>:*b0:wp</t>
  </si>
  <si>
    <t>:*b0:xy</t>
  </si>
  <si>
    <t>:*b0:au</t>
  </si>
  <si>
    <t>F1</t>
  </si>
  <si>
    <t>","x</t>
  </si>
  <si>
    <t>:*b0:ec</t>
  </si>
  <si>
    <t>:*b0:ac</t>
  </si>
  <si>
    <t>:*b0:on</t>
  </si>
  <si>
    <t>:*b0:po</t>
  </si>
  <si>
    <t>:*b0:ta</t>
  </si>
  <si>
    <t>:*b0:sn</t>
  </si>
  <si>
    <t>:*b0:sp</t>
  </si>
  <si>
    <t>:*b0:ai</t>
  </si>
  <si>
    <t>:*b0:cm</t>
  </si>
  <si>
    <t>:*b0:no</t>
  </si>
  <si>
    <t>:*b0:n2</t>
  </si>
  <si>
    <t>:*b0:n1</t>
  </si>
  <si>
    <t>:*b0:wh</t>
  </si>
  <si>
    <t>:*b0:ca</t>
  </si>
  <si>
    <t>:*b0:fm</t>
  </si>
  <si>
    <t>:*b0:fg</t>
  </si>
  <si>
    <t>:*b0:ki</t>
  </si>
  <si>
    <t>:*b0:mu</t>
  </si>
  <si>
    <t>D:\NT\Cloud\OneDrive\Ap\Snippet\Abap\Ym\ymt.txt</t>
  </si>
  <si>
    <t>D:\NT\Cloud\OneDrive\Ap\Snippet\Abap\Ym\ymr.txt</t>
  </si>
  <si>
    <t>^F1</t>
  </si>
  <si>
    <t>A_ctrlshifttab</t>
  </si>
  <si>
    <t>^+{tab}</t>
  </si>
  <si>
    <t>A_altshifttab</t>
  </si>
  <si>
    <t>!+{tab}</t>
  </si>
  <si>
    <t>Main</t>
  </si>
  <si>
    <t>Abap</t>
  </si>
  <si>
    <t>Otros</t>
  </si>
  <si>
    <t>Hotstring</t>
  </si>
  <si>
    <t>MM</t>
  </si>
  <si>
    <t>ABAP</t>
  </si>
  <si>
    <t>WF</t>
  </si>
  <si>
    <t>FIORI</t>
  </si>
  <si>
    <t>FIORI LOG</t>
  </si>
  <si>
    <t>FIORI CACHE</t>
  </si>
  <si>
    <t>BASIS</t>
  </si>
  <si>
    <t>FI</t>
  </si>
  <si>
    <t>CO</t>
  </si>
  <si>
    <t>SD</t>
  </si>
  <si>
    <t>CS</t>
  </si>
  <si>
    <t>PP</t>
  </si>
  <si>
    <t>PM</t>
  </si>
  <si>
    <t>ZOSFE</t>
  </si>
  <si>
    <t>ZOSFAR</t>
  </si>
  <si>
    <t>ZOSPELL</t>
  </si>
  <si>
    <t>TICKET</t>
  </si>
  <si>
    <t>+se38</t>
  </si>
  <si>
    <t>!4</t>
  </si>
  <si>
    <t>!6</t>
  </si>
  <si>
    <t>!0</t>
  </si>
  <si>
    <t>^F2</t>
  </si>
  <si>
    <t>^F3</t>
  </si>
  <si>
    <t>:*:d4</t>
  </si>
  <si>
    <t>A_day2_en</t>
  </si>
  <si>
    <t>A_day2</t>
  </si>
  <si>
    <t>EVERYTHING</t>
  </si>
  <si>
    <t>!t</t>
  </si>
  <si>
    <t>se16n</t>
  </si>
  <si>
    <t>se37</t>
  </si>
  <si>
    <t>+se11</t>
  </si>
  <si>
    <t>+se93</t>
  </si>
  <si>
    <t>+se24</t>
  </si>
  <si>
    <t>+se16n</t>
  </si>
  <si>
    <t>+se37</t>
  </si>
  <si>
    <t>+se80</t>
  </si>
  <si>
    <t>/nex</t>
  </si>
  <si>
    <t>/h</t>
  </si>
  <si>
    <t>Send ^+1</t>
  </si>
  <si>
    <t>Send Willyto</t>
  </si>
  <si>
    <t>zomt_desc4</t>
  </si>
  <si>
    <t>!r</t>
  </si>
  <si>
    <t>go.click()</t>
  </si>
  <si>
    <t>`</t>
  </si>
  <si>
    <t>se09</t>
  </si>
  <si>
    <t>+ymt</t>
  </si>
  <si>
    <t>^r</t>
  </si>
  <si>
    <t>+ymt","=btn3a</t>
  </si>
  <si>
    <t>ymt","=btn3a</t>
  </si>
  <si>
    <t>ahk_exe saplogon.exe</t>
  </si>
  <si>
    <t>Visualizar documentos</t>
  </si>
  <si>
    <t>Saplogon PDF #32770</t>
  </si>
  <si>
    <t>[app_close] = Default Send !{F4}</t>
  </si>
  <si>
    <t>go.sap.abap_sync()</t>
  </si>
  <si>
    <t>D:\NT\Cloud\OneDrive\PARA\Know\zcl_util.docx</t>
  </si>
  <si>
    <t>gt1_altf4</t>
  </si>
  <si>
    <t>gt2_esc</t>
  </si>
  <si>
    <t>gt3_ctrlw</t>
  </si>
  <si>
    <t>gt4_kill</t>
  </si>
  <si>
    <t>#32770</t>
  </si>
  <si>
    <t>~enter</t>
  </si>
  <si>
    <t>Send ^{/}/o</t>
  </si>
  <si>
    <t>$^F3</t>
  </si>
  <si>
    <t>Send !{2}</t>
  </si>
  <si>
    <t>go.outlook_time()</t>
  </si>
  <si>
    <t>go.sap.qas_transport()</t>
  </si>
  <si>
    <t>/000 SAP</t>
  </si>
  <si>
    <t>^!f</t>
  </si>
  <si>
    <t>.ahk</t>
  </si>
  <si>
    <t>go := {base: new zclapp(), sap: new zclsap(), job: new zcljob(), dev: new zcldev()}</t>
  </si>
  <si>
    <t>go.32770_enter()</t>
  </si>
  <si>
    <t>ui := new zclutil()</t>
  </si>
  <si>
    <t>go.reenumerar_ahk()</t>
  </si>
  <si>
    <t>[data]</t>
  </si>
  <si>
    <t>[A_apps]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</si>
</sst>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sz val="11"/>
      <name val="Consolas"/>
      <family val="3"/>
    </font>
    <font>
      <b/>
      <sz val="11"/>
      <name val="Consolas"/>
      <family val="3"/>
    </font>
    <font>
      <sz val="8"/>
      <name val="Calibri"/>
      <family val="2"/>
      <scheme val="minor"/>
    </font>
    <font>
      <sz val="8"/>
      <color rgb="FF0A0101"/>
      <name val="Arial"/>
      <family val="2"/>
    </font>
    <font>
      <sz val="9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4" applyNumberFormat="0" applyAlignment="0" applyProtection="0"/>
    <xf numFmtId="0" fontId="13" fillId="7" borderId="5" applyNumberFormat="0" applyAlignment="0" applyProtection="0"/>
    <xf numFmtId="0" fontId="14" fillId="7" borderId="4" applyNumberFormat="0" applyAlignment="0" applyProtection="0"/>
    <xf numFmtId="0" fontId="15" fillId="0" borderId="6" applyNumberFormat="0" applyFill="0" applyAlignment="0" applyProtection="0"/>
    <xf numFmtId="0" fontId="1" fillId="8" borderId="7" applyNumberFormat="0" applyAlignment="0" applyProtection="0"/>
    <xf numFmtId="0" fontId="16" fillId="0" borderId="0" applyNumberFormat="0" applyFill="0" applyBorder="0" applyAlignment="0" applyProtection="0"/>
    <xf numFmtId="0" fontId="4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2" fillId="0" borderId="9" applyNumberFormat="0" applyFill="0" applyAlignment="0" applyProtection="0"/>
    <xf numFmtId="0" fontId="18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18" fillId="33" borderId="0" applyNumberFormat="0" applyBorder="0" applyAlignment="0" applyProtection="0"/>
    <xf numFmtId="2" fontId="19" fillId="0" borderId="0"/>
    <xf numFmtId="0" fontId="19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3">
    <xf numFmtId="0" fontId="0" fillId="0" borderId="0" xfId="0"/>
    <xf numFmtId="0" fontId="20" fillId="0" borderId="0" xfId="0" applyFont="1"/>
    <xf numFmtId="0" fontId="21" fillId="2" borderId="0" xfId="0" applyFont="1" applyFill="1"/>
    <xf numFmtId="0" fontId="21" fillId="0" borderId="0" xfId="0" applyFont="1"/>
    <xf numFmtId="0" fontId="22" fillId="0" borderId="0" xfId="0" applyFont="1" applyFill="1"/>
    <xf numFmtId="49" fontId="22" fillId="0" borderId="0" xfId="0" applyNumberFormat="1" applyFont="1" applyFill="1"/>
    <xf numFmtId="0" fontId="20" fillId="0" borderId="0" xfId="0" applyFont="1" applyFill="1"/>
    <xf numFmtId="0" fontId="23" fillId="0" borderId="0" xfId="0" applyFont="1" applyFill="1" applyAlignment="1">
      <alignment horizontal="left"/>
    </xf>
    <xf numFmtId="0" fontId="22" fillId="0" borderId="0" xfId="0" applyFont="1" applyFill="1" applyAlignment="1">
      <alignment horizontal="left"/>
    </xf>
    <xf numFmtId="0" fontId="20" fillId="36" borderId="0" xfId="0" applyFont="1" applyFill="1"/>
    <xf numFmtId="0" fontId="20" fillId="0" borderId="0" xfId="0" applyFont="1" applyFill="1" applyBorder="1"/>
    <xf numFmtId="0" fontId="20" fillId="0" borderId="0" xfId="0" applyFont="1" applyBorder="1"/>
    <xf numFmtId="0" fontId="20" fillId="38" borderId="0" xfId="0" applyFont="1" applyFill="1"/>
    <xf numFmtId="0" fontId="20" fillId="0" borderId="0" xfId="0" quotePrefix="1" applyFont="1"/>
    <xf numFmtId="0" fontId="25" fillId="0" borderId="0" xfId="0" applyFont="1"/>
    <xf numFmtId="0" fontId="3" fillId="0" borderId="0" xfId="45"/>
    <xf numFmtId="0" fontId="20" fillId="36" borderId="0" xfId="0" applyFont="1" applyFill="1" applyAlignment="1">
      <alignment horizontal="left" indent="1"/>
    </xf>
    <xf numFmtId="0" fontId="26" fillId="0" borderId="0" xfId="0" applyFont="1" applyFill="1"/>
    <xf numFmtId="0" fontId="20" fillId="40" borderId="0" xfId="0" applyFont="1" applyFill="1"/>
    <xf numFmtId="0" fontId="20" fillId="44" borderId="0" xfId="0" applyFont="1" applyFill="1"/>
    <xf numFmtId="0" fontId="22" fillId="0" borderId="0" xfId="0" applyFont="1" applyFill="1" applyBorder="1"/>
    <xf numFmtId="0" fontId="20" fillId="45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Border="1" applyAlignment="1">
      <alignment horizontal="left"/>
    </xf>
    <xf numFmtId="0" fontId="20" fillId="0" borderId="0" xfId="0" applyFont="1" applyFill="1" applyAlignment="1">
      <alignment horizontal="left"/>
    </xf>
    <xf numFmtId="0" fontId="21" fillId="43" borderId="0" xfId="0" applyFont="1" applyFill="1" applyAlignment="1">
      <alignment horizontal="left"/>
    </xf>
    <xf numFmtId="0" fontId="21" fillId="43" borderId="0" xfId="0" quotePrefix="1" applyFont="1" applyFill="1" applyAlignment="1">
      <alignment horizontal="left"/>
    </xf>
    <xf numFmtId="0" fontId="22" fillId="44" borderId="0" xfId="0" applyFont="1" applyFill="1"/>
    <xf numFmtId="0" fontId="22" fillId="46" borderId="0" xfId="0" applyFont="1" applyFill="1"/>
    <xf numFmtId="0" fontId="22" fillId="38" borderId="0" xfId="0" applyFont="1" applyFill="1"/>
    <xf numFmtId="0" fontId="20" fillId="43" borderId="0" xfId="0" applyFont="1" applyFill="1" applyAlignment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/>
    <xf numFmtId="0" fontId="22" fillId="0" borderId="0" xfId="0" applyFont="1"/>
    <xf numFmtId="0" fontId="3" fillId="0" borderId="0" xfId="45" applyFill="1"/>
    <xf numFmtId="0" fontId="22" fillId="0" borderId="0" xfId="0" quotePrefix="1" applyFont="1" applyFill="1"/>
    <xf numFmtId="0" fontId="20" fillId="0" borderId="0" xfId="0" applyFont="1" applyFill="1" applyAlignment="1">
      <alignment horizontal="left" indent="1"/>
    </xf>
    <xf numFmtId="0" fontId="20" fillId="36" borderId="0" xfId="0" applyFont="1" applyFill="1" applyAlignment="1">
      <alignment horizontal="left"/>
    </xf>
    <xf numFmtId="0" fontId="21" fillId="39" borderId="0" xfId="0" applyFont="1" applyFill="1" applyAlignment="1"/>
    <xf numFmtId="0" fontId="21" fillId="40" borderId="0" xfId="0" applyFont="1" applyFill="1" applyAlignment="1"/>
    <xf numFmtId="0" fontId="21" fillId="40" borderId="0" xfId="0" applyFont="1" applyFill="1" applyAlignment="1">
      <alignment horizontal="center"/>
    </xf>
    <xf numFmtId="0" fontId="20" fillId="0" borderId="0" xfId="0" applyFont="1" applyFill="1" applyAlignment="1">
      <alignment horizontal="left"/>
    </xf>
    <xf numFmtId="0" fontId="20" fillId="41" borderId="0" xfId="0" applyFont="1" applyFill="1" applyAlignment="1">
      <alignment horizontal="left"/>
    </xf>
    <xf numFmtId="0" fontId="20" fillId="0" borderId="0" xfId="0" applyFont="1" applyFill="1" applyBorder="1" applyAlignment="1">
      <alignment horizontal="left"/>
    </xf>
    <xf numFmtId="0" fontId="21" fillId="37" borderId="0" xfId="0" applyFont="1" applyFill="1" applyAlignment="1">
      <alignment horizontal="left"/>
    </xf>
    <xf numFmtId="0" fontId="21" fillId="35" borderId="0" xfId="0" applyFont="1" applyFill="1" applyAlignment="1">
      <alignment horizontal="left"/>
    </xf>
    <xf numFmtId="0" fontId="21" fillId="43" borderId="0" xfId="0" applyFont="1" applyFill="1" applyAlignment="1">
      <alignment horizontal="left"/>
    </xf>
    <xf numFmtId="0" fontId="21" fillId="39" borderId="0" xfId="0" applyFont="1" applyFill="1" applyAlignment="1">
      <alignment horizontal="left"/>
    </xf>
    <xf numFmtId="0" fontId="21" fillId="34" borderId="0" xfId="0" applyFont="1" applyFill="1" applyAlignment="1">
      <alignment horizontal="left"/>
    </xf>
    <xf numFmtId="0" fontId="21" fillId="42" borderId="0" xfId="0" applyFont="1" applyFill="1" applyAlignment="1">
      <alignment horizontal="left"/>
    </xf>
    <xf numFmtId="0" fontId="21" fillId="2" borderId="0" xfId="0" applyFont="1" applyFill="1" applyAlignment="1">
      <alignment horizontal="left"/>
    </xf>
    <xf numFmtId="0" fontId="23" fillId="43" borderId="0" xfId="0" applyFont="1" applyFill="1" applyAlignment="1">
      <alignment horizontal="left"/>
    </xf>
    <xf numFmtId="0" fontId="21" fillId="41" borderId="0" xfId="0" applyFont="1" applyFill="1" applyAlignment="1">
      <alignment horizontal="left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ipervínculo 2" xfId="44" xr:uid="{00000000-0005-0000-0000-000020000000}"/>
    <cellStyle name="Hyperlink" xfId="45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 xr:uid="{00000000-0005-0000-0000-000024000000}"/>
    <cellStyle name="Normal 2 2" xfId="43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5"/>
      <tableStyleElement type="headerRow" dxfId="34"/>
    </tableStyle>
  </tableStyles>
  <colors>
    <mruColors>
      <color rgb="FFFF8989"/>
      <color rgb="FFFFA3A3"/>
      <color rgb="FFFF9797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B1048575" headerRowCount="0" totalsRowShown="0" headerRowDxfId="11" dataDxfId="10">
  <tableColumns count="2">
    <tableColumn id="1" xr3:uid="{00000000-0010-0000-0000-000001000000}" name="Column1" headerRowDxfId="9" dataDxfId="8"/>
    <tableColumn id="2" xr3:uid="{00000000-0010-0000-0000-000002000000}" name="Column2" headerRowDxfId="7" dataDxfId="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A1:B1048575" headerRowCount="0" totalsRowShown="0" headerRowDxfId="5" dataDxfId="4">
  <tableColumns count="2">
    <tableColumn id="1" xr3:uid="{00000000-0010-0000-0100-000001000000}" name=":*:nn" headerRowDxfId="3" dataDxfId="2"/>
    <tableColumn id="2" xr3:uid="{00000000-0010-0000-0100-000002000000}" name="go.sendcopy(&quot;znow_ticket&quot;,salir)" headerRowDxfId="1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osss.omniasolution.com:8093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osss.omniasolution.com:8090/en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C00000"/>
  </sheetPr>
  <dimension ref="A1:F114"/>
  <sheetViews>
    <sheetView zoomScaleNormal="100" workbookViewId="0">
      <pane ySplit="1" topLeftCell="A2" activePane="bottomLeft" state="frozen"/>
      <selection pane="bottomLeft" activeCell="A13" sqref="A13"/>
    </sheetView>
  </sheetViews>
  <sheetFormatPr defaultColWidth="8.88671875" defaultRowHeight="14.4" x14ac:dyDescent="0.3"/>
  <cols>
    <col min="1" max="1" width="14.44140625" style="1" bestFit="1" customWidth="1"/>
    <col min="2" max="2" width="3.44140625" style="1" bestFit="1" customWidth="1"/>
    <col min="3" max="3" width="29.109375" style="1" bestFit="1" customWidth="1"/>
    <col min="4" max="4" width="26.88671875" style="1" bestFit="1" customWidth="1"/>
    <col min="5" max="5" width="21.109375" style="1" bestFit="1" customWidth="1"/>
    <col min="6" max="16384" width="8.88671875" style="1"/>
  </cols>
  <sheetData>
    <row r="1" spans="1:5" x14ac:dyDescent="0.3">
      <c r="A1" s="2" t="s">
        <v>0</v>
      </c>
      <c r="B1" s="2"/>
      <c r="C1" s="2" t="s">
        <v>1</v>
      </c>
      <c r="D1" s="2" t="s">
        <v>2</v>
      </c>
      <c r="E1" s="2" t="s">
        <v>3</v>
      </c>
    </row>
    <row r="2" spans="1:5" x14ac:dyDescent="0.3">
      <c r="A2" s="39" t="s">
        <v>1421</v>
      </c>
      <c r="B2" s="39"/>
      <c r="C2" s="39"/>
      <c r="D2" s="39"/>
      <c r="E2" s="39"/>
    </row>
    <row r="3" spans="1:5" x14ac:dyDescent="0.3">
      <c r="A3" s="39"/>
      <c r="B3" s="39" t="s">
        <v>1422</v>
      </c>
      <c r="C3" s="39"/>
      <c r="D3" s="39"/>
      <c r="E3" s="39"/>
    </row>
    <row r="4" spans="1:5" x14ac:dyDescent="0.3">
      <c r="A4" s="1" t="s">
        <v>4</v>
      </c>
      <c r="B4" s="1" t="s">
        <v>5</v>
      </c>
      <c r="C4" s="1" t="s">
        <v>6</v>
      </c>
      <c r="D4" s="1" t="s">
        <v>7</v>
      </c>
    </row>
    <row r="5" spans="1:5" x14ac:dyDescent="0.3">
      <c r="A5" s="1" t="s">
        <v>8</v>
      </c>
      <c r="B5" s="1" t="s">
        <v>5</v>
      </c>
      <c r="C5" s="1" t="s">
        <v>9</v>
      </c>
      <c r="D5" s="1" t="s">
        <v>10</v>
      </c>
    </row>
    <row r="6" spans="1:5" x14ac:dyDescent="0.3">
      <c r="A6" s="1" t="s">
        <v>11</v>
      </c>
      <c r="B6" s="1" t="s">
        <v>5</v>
      </c>
      <c r="C6" s="1" t="s">
        <v>12</v>
      </c>
      <c r="D6" s="1" t="s">
        <v>13</v>
      </c>
    </row>
    <row r="7" spans="1:5" x14ac:dyDescent="0.3">
      <c r="A7" s="1" t="s">
        <v>14</v>
      </c>
      <c r="B7" s="1" t="s">
        <v>5</v>
      </c>
      <c r="C7" s="1" t="s">
        <v>15</v>
      </c>
      <c r="D7" s="1" t="s">
        <v>1265</v>
      </c>
    </row>
    <row r="8" spans="1:5" x14ac:dyDescent="0.3">
      <c r="A8" s="1" t="s">
        <v>16</v>
      </c>
      <c r="B8" s="1" t="s">
        <v>5</v>
      </c>
      <c r="C8" s="1" t="s">
        <v>17</v>
      </c>
      <c r="D8" s="1" t="s">
        <v>18</v>
      </c>
    </row>
    <row r="9" spans="1:5" x14ac:dyDescent="0.3">
      <c r="A9" s="1" t="s">
        <v>19</v>
      </c>
      <c r="B9" s="1" t="s">
        <v>5</v>
      </c>
      <c r="C9" s="1" t="s">
        <v>20</v>
      </c>
      <c r="D9" s="1" t="s">
        <v>21</v>
      </c>
    </row>
    <row r="10" spans="1:5" x14ac:dyDescent="0.3">
      <c r="A10" s="1" t="s">
        <v>22</v>
      </c>
      <c r="B10" s="1" t="s">
        <v>5</v>
      </c>
      <c r="C10" s="1" t="s">
        <v>23</v>
      </c>
      <c r="D10" s="1" t="s">
        <v>24</v>
      </c>
    </row>
    <row r="11" spans="1:5" x14ac:dyDescent="0.3">
      <c r="A11" s="1" t="s">
        <v>25</v>
      </c>
      <c r="B11" s="1" t="s">
        <v>5</v>
      </c>
      <c r="C11" s="1" t="s">
        <v>26</v>
      </c>
      <c r="D11" s="1" t="s">
        <v>27</v>
      </c>
    </row>
    <row r="12" spans="1:5" x14ac:dyDescent="0.3">
      <c r="A12" s="11" t="s">
        <v>28</v>
      </c>
      <c r="B12" s="1" t="s">
        <v>5</v>
      </c>
      <c r="C12" s="1" t="s">
        <v>29</v>
      </c>
      <c r="D12" s="1" t="s">
        <v>30</v>
      </c>
    </row>
    <row r="13" spans="1:5" x14ac:dyDescent="0.3">
      <c r="A13" s="1" t="s">
        <v>31</v>
      </c>
      <c r="B13" s="1" t="s">
        <v>5</v>
      </c>
      <c r="C13" s="1" t="s">
        <v>32</v>
      </c>
      <c r="D13" s="1" t="s">
        <v>33</v>
      </c>
    </row>
    <row r="14" spans="1:5" x14ac:dyDescent="0.3">
      <c r="A14" s="1" t="s">
        <v>34</v>
      </c>
      <c r="B14" s="1" t="s">
        <v>5</v>
      </c>
      <c r="C14" s="1" t="s">
        <v>35</v>
      </c>
      <c r="D14" s="1" t="s">
        <v>36</v>
      </c>
    </row>
    <row r="15" spans="1:5" x14ac:dyDescent="0.3">
      <c r="A15" s="1" t="s">
        <v>37</v>
      </c>
      <c r="B15" s="1" t="s">
        <v>5</v>
      </c>
      <c r="C15" s="1" t="s">
        <v>38</v>
      </c>
      <c r="D15" s="1" t="s">
        <v>39</v>
      </c>
    </row>
    <row r="16" spans="1:5" x14ac:dyDescent="0.3">
      <c r="A16" s="1" t="s">
        <v>805</v>
      </c>
      <c r="B16" s="1" t="s">
        <v>5</v>
      </c>
      <c r="C16" s="1" t="s">
        <v>40</v>
      </c>
      <c r="D16" s="1" t="s">
        <v>41</v>
      </c>
    </row>
    <row r="17" spans="1:4" x14ac:dyDescent="0.3">
      <c r="A17" s="1" t="s">
        <v>42</v>
      </c>
      <c r="B17" s="1" t="s">
        <v>5</v>
      </c>
      <c r="C17" s="1" t="s">
        <v>43</v>
      </c>
      <c r="D17" s="1" t="s">
        <v>44</v>
      </c>
    </row>
    <row r="18" spans="1:4" x14ac:dyDescent="0.3">
      <c r="A18" s="1" t="s">
        <v>45</v>
      </c>
      <c r="B18" s="1" t="s">
        <v>5</v>
      </c>
      <c r="C18" s="1" t="s">
        <v>46</v>
      </c>
      <c r="D18" s="1" t="s">
        <v>47</v>
      </c>
    </row>
    <row r="19" spans="1:4" x14ac:dyDescent="0.3">
      <c r="A19" s="1" t="s">
        <v>48</v>
      </c>
      <c r="B19" s="1" t="s">
        <v>5</v>
      </c>
      <c r="C19" s="1" t="s">
        <v>49</v>
      </c>
      <c r="D19" s="1" t="s">
        <v>50</v>
      </c>
    </row>
    <row r="20" spans="1:4" x14ac:dyDescent="0.3">
      <c r="A20" s="1" t="s">
        <v>51</v>
      </c>
      <c r="B20" s="1" t="s">
        <v>5</v>
      </c>
      <c r="C20" s="1" t="s">
        <v>801</v>
      </c>
      <c r="D20" s="1" t="s">
        <v>802</v>
      </c>
    </row>
    <row r="21" spans="1:4" x14ac:dyDescent="0.3">
      <c r="A21" s="1" t="s">
        <v>52</v>
      </c>
      <c r="B21" s="1" t="s">
        <v>5</v>
      </c>
      <c r="C21" s="1" t="s">
        <v>53</v>
      </c>
      <c r="D21" s="1" t="s">
        <v>54</v>
      </c>
    </row>
    <row r="22" spans="1:4" x14ac:dyDescent="0.3">
      <c r="A22" s="1" t="s">
        <v>55</v>
      </c>
      <c r="B22" s="1" t="s">
        <v>5</v>
      </c>
      <c r="C22" s="1" t="s">
        <v>998</v>
      </c>
      <c r="D22" s="1" t="s">
        <v>148</v>
      </c>
    </row>
    <row r="23" spans="1:4" x14ac:dyDescent="0.3">
      <c r="A23" s="1" t="s">
        <v>56</v>
      </c>
      <c r="B23" s="1" t="s">
        <v>5</v>
      </c>
      <c r="C23" s="1" t="s">
        <v>811</v>
      </c>
      <c r="D23" s="1" t="s">
        <v>57</v>
      </c>
    </row>
    <row r="24" spans="1:4" x14ac:dyDescent="0.3">
      <c r="A24" s="1" t="s">
        <v>58</v>
      </c>
      <c r="B24" s="1" t="s">
        <v>5</v>
      </c>
      <c r="C24" s="1" t="s">
        <v>809</v>
      </c>
      <c r="D24" s="1" t="s">
        <v>59</v>
      </c>
    </row>
    <row r="25" spans="1:4" x14ac:dyDescent="0.3">
      <c r="A25" s="1" t="s">
        <v>923</v>
      </c>
      <c r="B25" s="1" t="s">
        <v>5</v>
      </c>
      <c r="C25" s="1" t="s">
        <v>924</v>
      </c>
      <c r="D25" s="1" t="s">
        <v>1277</v>
      </c>
    </row>
    <row r="26" spans="1:4" x14ac:dyDescent="0.3">
      <c r="A26" s="1" t="s">
        <v>60</v>
      </c>
      <c r="B26" s="1" t="s">
        <v>5</v>
      </c>
      <c r="C26" s="1" t="s">
        <v>931</v>
      </c>
      <c r="D26" s="1" t="s">
        <v>61</v>
      </c>
    </row>
    <row r="27" spans="1:4" x14ac:dyDescent="0.3">
      <c r="A27" s="1" t="s">
        <v>62</v>
      </c>
      <c r="B27" s="1" t="s">
        <v>5</v>
      </c>
      <c r="C27" s="1" t="s">
        <v>63</v>
      </c>
      <c r="D27" s="1" t="s">
        <v>64</v>
      </c>
    </row>
    <row r="28" spans="1:4" x14ac:dyDescent="0.3">
      <c r="A28" s="1" t="s">
        <v>65</v>
      </c>
      <c r="B28" s="1" t="s">
        <v>5</v>
      </c>
      <c r="C28" s="1" t="s">
        <v>66</v>
      </c>
      <c r="D28" s="1" t="s">
        <v>67</v>
      </c>
    </row>
    <row r="29" spans="1:4" x14ac:dyDescent="0.3">
      <c r="A29" s="1" t="s">
        <v>68</v>
      </c>
      <c r="B29" s="1" t="s">
        <v>5</v>
      </c>
      <c r="C29" s="1" t="s">
        <v>69</v>
      </c>
      <c r="D29" s="1" t="s">
        <v>70</v>
      </c>
    </row>
    <row r="30" spans="1:4" x14ac:dyDescent="0.3">
      <c r="A30" s="1" t="s">
        <v>71</v>
      </c>
      <c r="B30" s="1" t="s">
        <v>5</v>
      </c>
      <c r="C30" s="1" t="s">
        <v>72</v>
      </c>
      <c r="D30" s="1" t="s">
        <v>73</v>
      </c>
    </row>
    <row r="31" spans="1:4" x14ac:dyDescent="0.3">
      <c r="A31" s="1" t="s">
        <v>74</v>
      </c>
      <c r="B31" s="1" t="s">
        <v>5</v>
      </c>
      <c r="C31" s="1" t="s">
        <v>75</v>
      </c>
      <c r="D31" s="1" t="s">
        <v>76</v>
      </c>
    </row>
    <row r="32" spans="1:4" x14ac:dyDescent="0.3">
      <c r="A32" s="1" t="s">
        <v>77</v>
      </c>
      <c r="B32" s="1" t="s">
        <v>5</v>
      </c>
      <c r="C32" s="1" t="s">
        <v>810</v>
      </c>
      <c r="D32" s="1" t="s">
        <v>78</v>
      </c>
    </row>
    <row r="33" spans="1:5" x14ac:dyDescent="0.3">
      <c r="A33" s="1" t="s">
        <v>79</v>
      </c>
      <c r="B33" s="1" t="s">
        <v>5</v>
      </c>
      <c r="C33" s="1" t="s">
        <v>80</v>
      </c>
      <c r="D33" s="1" t="s">
        <v>81</v>
      </c>
    </row>
    <row r="34" spans="1:5" x14ac:dyDescent="0.3">
      <c r="A34" s="1" t="s">
        <v>82</v>
      </c>
      <c r="B34" s="1" t="s">
        <v>5</v>
      </c>
      <c r="C34" s="1" t="s">
        <v>83</v>
      </c>
      <c r="D34" s="1" t="s">
        <v>84</v>
      </c>
    </row>
    <row r="35" spans="1:5" x14ac:dyDescent="0.3">
      <c r="A35" s="1" t="s">
        <v>85</v>
      </c>
      <c r="B35" s="1" t="s">
        <v>5</v>
      </c>
      <c r="C35" s="1" t="s">
        <v>86</v>
      </c>
      <c r="D35" s="1" t="s">
        <v>87</v>
      </c>
    </row>
    <row r="36" spans="1:5" x14ac:dyDescent="0.3">
      <c r="A36" s="1" t="s">
        <v>88</v>
      </c>
      <c r="B36" s="1" t="s">
        <v>5</v>
      </c>
      <c r="C36" s="1" t="s">
        <v>89</v>
      </c>
      <c r="D36" s="1" t="s">
        <v>90</v>
      </c>
    </row>
    <row r="37" spans="1:5" x14ac:dyDescent="0.3">
      <c r="A37" s="1" t="s">
        <v>978</v>
      </c>
      <c r="B37" s="1" t="s">
        <v>5</v>
      </c>
      <c r="C37" s="1" t="s">
        <v>979</v>
      </c>
    </row>
    <row r="38" spans="1:5" x14ac:dyDescent="0.3">
      <c r="A38" s="1" t="s">
        <v>1290</v>
      </c>
      <c r="B38" s="1" t="s">
        <v>5</v>
      </c>
      <c r="C38" s="1" t="s">
        <v>1291</v>
      </c>
      <c r="D38" s="1" t="s">
        <v>1292</v>
      </c>
    </row>
    <row r="40" spans="1:5" x14ac:dyDescent="0.3">
      <c r="A40" s="39"/>
      <c r="B40" s="39" t="s">
        <v>91</v>
      </c>
      <c r="C40" s="39"/>
      <c r="D40" s="39"/>
      <c r="E40" s="39"/>
    </row>
    <row r="41" spans="1:5" x14ac:dyDescent="0.3">
      <c r="A41" s="1" t="s">
        <v>92</v>
      </c>
      <c r="B41" s="1" t="s">
        <v>5</v>
      </c>
      <c r="C41" s="1" t="s">
        <v>93</v>
      </c>
    </row>
    <row r="42" spans="1:5" x14ac:dyDescent="0.3">
      <c r="A42" s="1" t="s">
        <v>94</v>
      </c>
      <c r="B42" s="1" t="s">
        <v>5</v>
      </c>
      <c r="C42" s="1" t="s">
        <v>95</v>
      </c>
    </row>
    <row r="43" spans="1:5" x14ac:dyDescent="0.3">
      <c r="A43" s="1" t="s">
        <v>97</v>
      </c>
      <c r="B43" s="1" t="s">
        <v>5</v>
      </c>
      <c r="C43" s="1" t="s">
        <v>98</v>
      </c>
      <c r="D43" s="1" t="s">
        <v>96</v>
      </c>
    </row>
    <row r="45" spans="1:5" x14ac:dyDescent="0.3">
      <c r="A45" s="39"/>
      <c r="B45" s="39" t="s">
        <v>99</v>
      </c>
      <c r="C45" s="39"/>
      <c r="D45" s="39"/>
      <c r="E45" s="39"/>
    </row>
    <row r="46" spans="1:5" x14ac:dyDescent="0.3">
      <c r="A46" s="1" t="s">
        <v>100</v>
      </c>
      <c r="B46" s="1" t="s">
        <v>5</v>
      </c>
      <c r="C46" s="1" t="s">
        <v>101</v>
      </c>
    </row>
    <row r="47" spans="1:5" x14ac:dyDescent="0.3">
      <c r="A47" s="1" t="s">
        <v>1000</v>
      </c>
      <c r="B47" s="1" t="s">
        <v>5</v>
      </c>
      <c r="C47" s="1" t="s">
        <v>852</v>
      </c>
    </row>
    <row r="48" spans="1:5" x14ac:dyDescent="0.3">
      <c r="A48" s="1" t="s">
        <v>1284</v>
      </c>
      <c r="B48" s="1" t="s">
        <v>5</v>
      </c>
      <c r="C48" s="1" t="s">
        <v>115</v>
      </c>
    </row>
    <row r="49" spans="1:6" x14ac:dyDescent="0.3">
      <c r="A49" s="1" t="s">
        <v>102</v>
      </c>
      <c r="B49" s="1" t="s">
        <v>5</v>
      </c>
      <c r="C49" s="1" t="s">
        <v>103</v>
      </c>
    </row>
    <row r="50" spans="1:6" x14ac:dyDescent="0.3">
      <c r="A50" s="1" t="s">
        <v>1342</v>
      </c>
      <c r="B50" s="1" t="s">
        <v>5</v>
      </c>
      <c r="C50" s="1" t="s">
        <v>1343</v>
      </c>
    </row>
    <row r="51" spans="1:6" x14ac:dyDescent="0.3">
      <c r="A51" s="1" t="s">
        <v>104</v>
      </c>
      <c r="B51" s="1" t="s">
        <v>5</v>
      </c>
      <c r="C51" s="1" t="s">
        <v>105</v>
      </c>
    </row>
    <row r="52" spans="1:6" x14ac:dyDescent="0.3">
      <c r="A52" s="1" t="s">
        <v>1340</v>
      </c>
      <c r="B52" s="1" t="s">
        <v>5</v>
      </c>
      <c r="C52" s="1" t="s">
        <v>1341</v>
      </c>
    </row>
    <row r="53" spans="1:6" x14ac:dyDescent="0.3">
      <c r="A53" s="1" t="s">
        <v>106</v>
      </c>
      <c r="B53" s="1" t="s">
        <v>5</v>
      </c>
      <c r="C53" s="1" t="s">
        <v>107</v>
      </c>
    </row>
    <row r="54" spans="1:6" x14ac:dyDescent="0.3">
      <c r="A54" s="1" t="s">
        <v>108</v>
      </c>
      <c r="B54" s="1" t="s">
        <v>5</v>
      </c>
      <c r="C54" s="1" t="s">
        <v>109</v>
      </c>
    </row>
    <row r="55" spans="1:6" x14ac:dyDescent="0.3">
      <c r="A55" s="1" t="s">
        <v>110</v>
      </c>
      <c r="B55" s="1" t="s">
        <v>5</v>
      </c>
      <c r="C55" s="1" t="s">
        <v>111</v>
      </c>
    </row>
    <row r="56" spans="1:6" x14ac:dyDescent="0.3">
      <c r="A56" s="1" t="s">
        <v>112</v>
      </c>
      <c r="B56" s="1" t="s">
        <v>5</v>
      </c>
      <c r="C56" s="1" t="s">
        <v>113</v>
      </c>
    </row>
    <row r="57" spans="1:6" x14ac:dyDescent="0.3">
      <c r="A57" s="1" t="s">
        <v>114</v>
      </c>
      <c r="B57" s="1" t="s">
        <v>5</v>
      </c>
      <c r="C57" s="1" t="s">
        <v>1283</v>
      </c>
    </row>
    <row r="58" spans="1:6" x14ac:dyDescent="0.3">
      <c r="A58" s="1" t="s">
        <v>116</v>
      </c>
      <c r="B58" s="1" t="s">
        <v>5</v>
      </c>
      <c r="C58" s="1" t="s">
        <v>117</v>
      </c>
    </row>
    <row r="59" spans="1:6" x14ac:dyDescent="0.3">
      <c r="A59" s="1" t="s">
        <v>118</v>
      </c>
      <c r="B59" s="1" t="s">
        <v>5</v>
      </c>
      <c r="C59" s="1" t="s">
        <v>119</v>
      </c>
    </row>
    <row r="60" spans="1:6" x14ac:dyDescent="0.3">
      <c r="A60" s="1" t="s">
        <v>803</v>
      </c>
      <c r="B60" s="1" t="s">
        <v>5</v>
      </c>
      <c r="C60" s="1" t="s">
        <v>804</v>
      </c>
    </row>
    <row r="62" spans="1:6" x14ac:dyDescent="0.3">
      <c r="A62" s="39"/>
      <c r="B62" s="39" t="s">
        <v>120</v>
      </c>
      <c r="C62" s="39"/>
      <c r="D62" s="39"/>
      <c r="E62" s="39"/>
      <c r="F62" s="6"/>
    </row>
    <row r="63" spans="1:6" x14ac:dyDescent="0.3">
      <c r="A63" s="1" t="s">
        <v>121</v>
      </c>
      <c r="B63" s="1" t="s">
        <v>5</v>
      </c>
      <c r="C63" s="9" t="str">
        <f>E63</f>
        <v>D:\nt\cloud\OneDrive\Ap\Apps\Abap\</v>
      </c>
      <c r="D63" s="9"/>
      <c r="E63" s="1" t="s">
        <v>806</v>
      </c>
    </row>
    <row r="64" spans="1:6" x14ac:dyDescent="0.3">
      <c r="A64" s="1" t="s">
        <v>122</v>
      </c>
      <c r="B64" s="1" t="s">
        <v>5</v>
      </c>
      <c r="C64" s="9" t="str">
        <f>C63&amp;E64</f>
        <v>D:\nt\cloud\OneDrive\Ap\Apps\Abap\ost.txt</v>
      </c>
      <c r="D64" s="9"/>
      <c r="E64" s="1" t="s">
        <v>123</v>
      </c>
    </row>
    <row r="65" spans="1:5" x14ac:dyDescent="0.3">
      <c r="A65" s="1" t="s">
        <v>124</v>
      </c>
      <c r="B65" s="1" t="s">
        <v>5</v>
      </c>
      <c r="C65" s="9" t="str">
        <f>C63&amp;E65</f>
        <v>D:\nt\cloud\OneDrive\Ap\Apps\Abap\src\</v>
      </c>
      <c r="D65" s="9"/>
      <c r="E65" s="1" t="s">
        <v>125</v>
      </c>
    </row>
    <row r="66" spans="1:5" x14ac:dyDescent="0.3">
      <c r="A66" s="1" t="s">
        <v>126</v>
      </c>
      <c r="B66" s="1" t="s">
        <v>5</v>
      </c>
      <c r="C66" s="9" t="str">
        <f>C63&amp;E66</f>
        <v>D:\nt\cloud\OneDrive\Ap\Apps\Abap\ym_g.txt</v>
      </c>
      <c r="D66" s="9"/>
      <c r="E66" s="1" t="s">
        <v>127</v>
      </c>
    </row>
    <row r="68" spans="1:5" x14ac:dyDescent="0.3">
      <c r="A68" s="39"/>
      <c r="B68" s="39" t="s">
        <v>128</v>
      </c>
      <c r="C68" s="39"/>
      <c r="D68" s="39"/>
      <c r="E68" s="39"/>
    </row>
    <row r="69" spans="1:5" x14ac:dyDescent="0.3">
      <c r="A69" s="1" t="s">
        <v>129</v>
      </c>
      <c r="B69" s="1" t="s">
        <v>5</v>
      </c>
      <c r="C69" s="15" t="s">
        <v>130</v>
      </c>
      <c r="D69" s="1" t="s">
        <v>131</v>
      </c>
    </row>
    <row r="70" spans="1:5" x14ac:dyDescent="0.3">
      <c r="A70" s="1" t="s">
        <v>771</v>
      </c>
      <c r="B70" s="1" t="s">
        <v>5</v>
      </c>
      <c r="C70" s="15" t="s">
        <v>927</v>
      </c>
      <c r="D70" s="1" t="s">
        <v>1303</v>
      </c>
    </row>
    <row r="71" spans="1:5" x14ac:dyDescent="0.3">
      <c r="A71" s="1" t="s">
        <v>132</v>
      </c>
      <c r="B71" s="1" t="s">
        <v>5</v>
      </c>
      <c r="C71" s="15" t="s">
        <v>928</v>
      </c>
      <c r="D71" s="1" t="s">
        <v>133</v>
      </c>
    </row>
    <row r="73" spans="1:5" x14ac:dyDescent="0.3">
      <c r="A73" s="39"/>
      <c r="B73" s="39" t="s">
        <v>134</v>
      </c>
      <c r="C73" s="39"/>
      <c r="D73" s="39"/>
      <c r="E73" s="39"/>
    </row>
    <row r="74" spans="1:5" x14ac:dyDescent="0.3">
      <c r="A74" s="1" t="s">
        <v>135</v>
      </c>
      <c r="B74" s="1" t="s">
        <v>5</v>
      </c>
      <c r="C74" s="9" t="str" cm="1">
        <f t="array" aca="1" ref="C74" ca="1">filename</f>
        <v>D:\NT\Cloud\OneDrive\Ap\Apps\Ahk\App_auto\Automate.xlsm</v>
      </c>
      <c r="D74" s="9"/>
      <c r="E74" s="1" t="s">
        <v>136</v>
      </c>
    </row>
    <row r="75" spans="1:5" x14ac:dyDescent="0.3">
      <c r="A75" s="1" t="s">
        <v>137</v>
      </c>
      <c r="B75" s="1" t="s">
        <v>5</v>
      </c>
      <c r="C75" s="1" t="s">
        <v>807</v>
      </c>
      <c r="E75" s="1" t="s">
        <v>138</v>
      </c>
    </row>
    <row r="77" spans="1:5" x14ac:dyDescent="0.3">
      <c r="A77" s="38"/>
      <c r="B77" s="38" t="s">
        <v>139</v>
      </c>
      <c r="C77" s="38"/>
      <c r="D77" s="38"/>
      <c r="E77" s="38"/>
    </row>
    <row r="78" spans="1:5" x14ac:dyDescent="0.3">
      <c r="A78" s="1" t="s">
        <v>140</v>
      </c>
      <c r="B78" s="1" t="s">
        <v>5</v>
      </c>
      <c r="C78" s="1" t="s">
        <v>141</v>
      </c>
      <c r="E78" s="1" t="s">
        <v>142</v>
      </c>
    </row>
    <row r="80" spans="1:5" x14ac:dyDescent="0.3">
      <c r="A80" s="38"/>
      <c r="B80" s="38" t="s">
        <v>143</v>
      </c>
      <c r="C80" s="38"/>
      <c r="D80" s="38"/>
      <c r="E80" s="38"/>
    </row>
    <row r="81" spans="1:5" x14ac:dyDescent="0.3">
      <c r="A81" s="1" t="s">
        <v>144</v>
      </c>
      <c r="B81" s="1" t="s">
        <v>5</v>
      </c>
      <c r="C81" s="1" t="s">
        <v>145</v>
      </c>
      <c r="E81" s="1" t="s">
        <v>146</v>
      </c>
    </row>
    <row r="83" spans="1:5" x14ac:dyDescent="0.3">
      <c r="A83" s="38"/>
      <c r="B83" s="38" t="s">
        <v>1400</v>
      </c>
      <c r="C83" s="38"/>
      <c r="D83" s="38"/>
      <c r="E83" s="38"/>
    </row>
    <row r="84" spans="1:5" x14ac:dyDescent="0.3">
      <c r="A84" s="18" t="s">
        <v>147</v>
      </c>
      <c r="B84" s="1" t="s">
        <v>5</v>
      </c>
      <c r="C84" s="1" t="s">
        <v>59</v>
      </c>
      <c r="E84" s="1" t="s">
        <v>793</v>
      </c>
    </row>
    <row r="85" spans="1:5" x14ac:dyDescent="0.3">
      <c r="A85" s="18" t="s">
        <v>147</v>
      </c>
      <c r="B85" s="1" t="s">
        <v>5</v>
      </c>
      <c r="C85" s="1" t="s">
        <v>149</v>
      </c>
      <c r="E85" s="1" t="s">
        <v>150</v>
      </c>
    </row>
    <row r="87" spans="1:5" x14ac:dyDescent="0.3">
      <c r="A87" s="1" t="s">
        <v>1403</v>
      </c>
      <c r="B87" s="1" t="s">
        <v>5</v>
      </c>
      <c r="C87" s="1" t="s">
        <v>148</v>
      </c>
      <c r="E87" s="1" t="s">
        <v>798</v>
      </c>
    </row>
    <row r="88" spans="1:5" x14ac:dyDescent="0.3">
      <c r="A88" s="1" t="s">
        <v>1403</v>
      </c>
      <c r="B88" s="1" t="s">
        <v>5</v>
      </c>
      <c r="C88" s="1" t="s">
        <v>1398</v>
      </c>
      <c r="E88" s="1" t="s">
        <v>1399</v>
      </c>
    </row>
    <row r="90" spans="1:5" x14ac:dyDescent="0.3">
      <c r="A90" s="1" t="s">
        <v>1404</v>
      </c>
      <c r="B90" s="1" t="s">
        <v>5</v>
      </c>
      <c r="C90" s="1" t="s">
        <v>154</v>
      </c>
    </row>
    <row r="91" spans="1:5" x14ac:dyDescent="0.3">
      <c r="A91" s="1" t="s">
        <v>1404</v>
      </c>
      <c r="B91" s="1" t="s">
        <v>5</v>
      </c>
      <c r="C91" s="1" t="s">
        <v>155</v>
      </c>
    </row>
    <row r="92" spans="1:5" x14ac:dyDescent="0.3">
      <c r="A92" s="1" t="s">
        <v>1404</v>
      </c>
      <c r="B92" s="1" t="s">
        <v>5</v>
      </c>
      <c r="C92" s="1" t="s">
        <v>156</v>
      </c>
    </row>
    <row r="93" spans="1:5" x14ac:dyDescent="0.3">
      <c r="A93" s="1" t="s">
        <v>1404</v>
      </c>
      <c r="B93" s="1" t="s">
        <v>5</v>
      </c>
      <c r="C93" s="1" t="s">
        <v>157</v>
      </c>
    </row>
    <row r="94" spans="1:5" x14ac:dyDescent="0.3">
      <c r="A94" s="1" t="s">
        <v>1404</v>
      </c>
      <c r="B94" s="1" t="s">
        <v>5</v>
      </c>
      <c r="C94" s="1" t="s">
        <v>158</v>
      </c>
      <c r="E94" s="1" t="s">
        <v>159</v>
      </c>
    </row>
    <row r="95" spans="1:5" x14ac:dyDescent="0.3">
      <c r="A95" s="1" t="s">
        <v>1404</v>
      </c>
      <c r="B95" s="1" t="s">
        <v>5</v>
      </c>
      <c r="C95" s="1" t="s">
        <v>160</v>
      </c>
      <c r="E95" s="9" t="str">
        <f>C95</f>
        <v>Mecanografía</v>
      </c>
    </row>
    <row r="96" spans="1:5" x14ac:dyDescent="0.3">
      <c r="A96" s="1" t="s">
        <v>1404</v>
      </c>
      <c r="B96" s="1" t="s">
        <v>5</v>
      </c>
      <c r="C96" s="1" t="s">
        <v>161</v>
      </c>
      <c r="E96" s="9" t="str">
        <f>C96</f>
        <v>Netflix</v>
      </c>
    </row>
    <row r="97" spans="1:5" x14ac:dyDescent="0.3">
      <c r="A97" s="1" t="s">
        <v>1404</v>
      </c>
      <c r="B97" s="1" t="s">
        <v>5</v>
      </c>
      <c r="C97" s="1" t="s">
        <v>152</v>
      </c>
    </row>
    <row r="98" spans="1:5" x14ac:dyDescent="0.3">
      <c r="A98" s="1" t="s">
        <v>1404</v>
      </c>
      <c r="B98" s="1" t="s">
        <v>5</v>
      </c>
      <c r="C98" s="1" t="s">
        <v>27</v>
      </c>
    </row>
    <row r="99" spans="1:5" x14ac:dyDescent="0.3">
      <c r="A99" s="1" t="s">
        <v>1404</v>
      </c>
      <c r="B99" s="1" t="s">
        <v>5</v>
      </c>
      <c r="C99" s="1" t="s">
        <v>41</v>
      </c>
      <c r="E99" s="21" t="s">
        <v>1288</v>
      </c>
    </row>
    <row r="100" spans="1:5" x14ac:dyDescent="0.3">
      <c r="A100" s="1" t="s">
        <v>1404</v>
      </c>
      <c r="B100" s="1" t="s">
        <v>5</v>
      </c>
      <c r="C100" s="1" t="s">
        <v>1289</v>
      </c>
      <c r="E100" s="21" t="s">
        <v>1288</v>
      </c>
    </row>
    <row r="102" spans="1:5" x14ac:dyDescent="0.3">
      <c r="A102" s="1" t="s">
        <v>1405</v>
      </c>
      <c r="B102" s="1" t="s">
        <v>5</v>
      </c>
      <c r="C102" s="1" t="s">
        <v>166</v>
      </c>
      <c r="E102" s="1" t="s">
        <v>167</v>
      </c>
    </row>
    <row r="103" spans="1:5" x14ac:dyDescent="0.3">
      <c r="A103" s="1" t="s">
        <v>1405</v>
      </c>
      <c r="B103" s="1" t="s">
        <v>5</v>
      </c>
      <c r="C103" s="1" t="s">
        <v>168</v>
      </c>
      <c r="E103" s="1" t="s">
        <v>169</v>
      </c>
    </row>
    <row r="104" spans="1:5" x14ac:dyDescent="0.3">
      <c r="A104" s="1" t="s">
        <v>1405</v>
      </c>
      <c r="B104" s="1" t="s">
        <v>5</v>
      </c>
      <c r="C104" s="1" t="s">
        <v>30</v>
      </c>
      <c r="E104" s="1" t="s">
        <v>162</v>
      </c>
    </row>
    <row r="105" spans="1:5" x14ac:dyDescent="0.3">
      <c r="A105" s="1" t="s">
        <v>1405</v>
      </c>
      <c r="B105" s="1" t="s">
        <v>5</v>
      </c>
      <c r="C105" s="1" t="s">
        <v>57</v>
      </c>
      <c r="E105" s="1" t="s">
        <v>163</v>
      </c>
    </row>
    <row r="106" spans="1:5" x14ac:dyDescent="0.3">
      <c r="A106" s="1" t="s">
        <v>1405</v>
      </c>
      <c r="B106" s="1" t="s">
        <v>5</v>
      </c>
      <c r="C106" s="1" t="s">
        <v>39</v>
      </c>
      <c r="E106" s="1" t="s">
        <v>170</v>
      </c>
    </row>
    <row r="107" spans="1:5" x14ac:dyDescent="0.3">
      <c r="A107" s="1" t="s">
        <v>1405</v>
      </c>
      <c r="B107" s="1" t="s">
        <v>5</v>
      </c>
      <c r="C107" s="1" t="s">
        <v>151</v>
      </c>
      <c r="E107" s="1" t="s">
        <v>772</v>
      </c>
    </row>
    <row r="108" spans="1:5" x14ac:dyDescent="0.3">
      <c r="A108" s="1" t="s">
        <v>1405</v>
      </c>
      <c r="B108" s="1" t="s">
        <v>5</v>
      </c>
      <c r="C108" s="1" t="s">
        <v>171</v>
      </c>
      <c r="E108" s="1" t="s">
        <v>172</v>
      </c>
    </row>
    <row r="109" spans="1:5" x14ac:dyDescent="0.3">
      <c r="A109" s="1" t="s">
        <v>1405</v>
      </c>
      <c r="B109" s="1" t="s">
        <v>5</v>
      </c>
      <c r="C109" s="1" t="s">
        <v>164</v>
      </c>
      <c r="E109" s="1" t="s">
        <v>165</v>
      </c>
    </row>
    <row r="110" spans="1:5" x14ac:dyDescent="0.3">
      <c r="A110" s="1" t="s">
        <v>1405</v>
      </c>
      <c r="B110" s="1" t="s">
        <v>5</v>
      </c>
      <c r="C110" s="1" t="s">
        <v>906</v>
      </c>
      <c r="E110" s="1" t="s">
        <v>907</v>
      </c>
    </row>
    <row r="111" spans="1:5" x14ac:dyDescent="0.3">
      <c r="A111" s="1" t="s">
        <v>1405</v>
      </c>
      <c r="B111" s="1" t="s">
        <v>5</v>
      </c>
      <c r="C111" s="1" t="s">
        <v>54</v>
      </c>
      <c r="E111" s="1" t="s">
        <v>53</v>
      </c>
    </row>
    <row r="113" spans="1:5" x14ac:dyDescent="0.3">
      <c r="A113" s="1" t="s">
        <v>1406</v>
      </c>
      <c r="B113" s="1" t="s">
        <v>5</v>
      </c>
      <c r="C113" s="1" t="s">
        <v>1397</v>
      </c>
      <c r="E113" s="1" t="s">
        <v>854</v>
      </c>
    </row>
    <row r="114" spans="1:5" x14ac:dyDescent="0.3">
      <c r="A114" s="1" t="s">
        <v>1406</v>
      </c>
      <c r="B114" s="1" t="s">
        <v>5</v>
      </c>
      <c r="C114" s="1" t="s">
        <v>153</v>
      </c>
    </row>
  </sheetData>
  <conditionalFormatting sqref="A13">
    <cfRule type="duplicateValues" dxfId="33" priority="37"/>
  </conditionalFormatting>
  <conditionalFormatting sqref="A14">
    <cfRule type="duplicateValues" dxfId="32" priority="36"/>
  </conditionalFormatting>
  <conditionalFormatting sqref="A30:A31">
    <cfRule type="duplicateValues" dxfId="31" priority="35"/>
  </conditionalFormatting>
  <conditionalFormatting sqref="A8">
    <cfRule type="duplicateValues" dxfId="30" priority="33"/>
  </conditionalFormatting>
  <conditionalFormatting sqref="A9">
    <cfRule type="duplicateValues" dxfId="29" priority="32"/>
  </conditionalFormatting>
  <conditionalFormatting sqref="A32">
    <cfRule type="duplicateValues" dxfId="28" priority="30"/>
  </conditionalFormatting>
  <conditionalFormatting sqref="A33">
    <cfRule type="duplicateValues" dxfId="27" priority="29"/>
  </conditionalFormatting>
  <conditionalFormatting sqref="A34:A35">
    <cfRule type="duplicateValues" dxfId="26" priority="28"/>
  </conditionalFormatting>
  <conditionalFormatting sqref="A28">
    <cfRule type="duplicateValues" dxfId="25" priority="26"/>
  </conditionalFormatting>
  <conditionalFormatting sqref="A51">
    <cfRule type="duplicateValues" dxfId="24" priority="25"/>
  </conditionalFormatting>
  <conditionalFormatting sqref="A85">
    <cfRule type="duplicateValues" dxfId="23" priority="21"/>
  </conditionalFormatting>
  <conditionalFormatting sqref="A36:A37">
    <cfRule type="duplicateValues" dxfId="22" priority="18"/>
  </conditionalFormatting>
  <conditionalFormatting sqref="A53">
    <cfRule type="duplicateValues" dxfId="21" priority="16"/>
  </conditionalFormatting>
  <conditionalFormatting sqref="A11">
    <cfRule type="duplicateValues" dxfId="20" priority="13"/>
  </conditionalFormatting>
  <conditionalFormatting sqref="A71">
    <cfRule type="duplicateValues" dxfId="19" priority="12"/>
  </conditionalFormatting>
  <conditionalFormatting sqref="A38">
    <cfRule type="duplicateValues" dxfId="18" priority="2"/>
  </conditionalFormatting>
  <conditionalFormatting sqref="A52">
    <cfRule type="duplicateValues" dxfId="17" priority="1"/>
  </conditionalFormatting>
  <hyperlinks>
    <hyperlink ref="C69" r:id="rId1" xr:uid="{00000000-0004-0000-0000-000000000000}"/>
  </hyperlinks>
  <pageMargins left="0.7" right="0.7" top="0.75" bottom="0.75" header="0.3" footer="0.3"/>
  <pageSetup orientation="portrait" horizontalDpi="300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2060"/>
  </sheetPr>
  <dimension ref="A1:J30"/>
  <sheetViews>
    <sheetView zoomScaleNormal="100" workbookViewId="0">
      <selection activeCell="B25" sqref="B25"/>
    </sheetView>
  </sheetViews>
  <sheetFormatPr defaultColWidth="8.77734375" defaultRowHeight="14.4" x14ac:dyDescent="0.3"/>
  <cols>
    <col min="1" max="1" width="5.109375" bestFit="1" customWidth="1"/>
    <col min="2" max="2" width="22.88671875" bestFit="1" customWidth="1"/>
    <col min="3" max="3" width="3.109375" bestFit="1" customWidth="1"/>
    <col min="4" max="4" width="49.109375" customWidth="1"/>
    <col min="5" max="5" width="14" bestFit="1" customWidth="1"/>
  </cols>
  <sheetData>
    <row r="1" spans="1:5" s="1" customFormat="1" x14ac:dyDescent="0.3">
      <c r="A1" s="2" t="s">
        <v>173</v>
      </c>
      <c r="B1" s="2" t="s">
        <v>174</v>
      </c>
      <c r="C1" s="2"/>
      <c r="D1" s="2" t="s">
        <v>175</v>
      </c>
      <c r="E1" s="2" t="s">
        <v>176</v>
      </c>
    </row>
    <row r="2" spans="1:5" s="6" customFormat="1" x14ac:dyDescent="0.3">
      <c r="B2" s="9" t="s">
        <v>177</v>
      </c>
      <c r="C2" s="9"/>
      <c r="D2" s="9" t="s">
        <v>178</v>
      </c>
    </row>
    <row r="3" spans="1:5" s="6" customFormat="1" x14ac:dyDescent="0.3">
      <c r="B3" s="9" t="s">
        <v>179</v>
      </c>
      <c r="C3" s="9"/>
      <c r="D3" s="9" t="s">
        <v>997</v>
      </c>
      <c r="E3" s="22"/>
    </row>
    <row r="4" spans="1:5" s="1" customFormat="1" x14ac:dyDescent="0.3">
      <c r="A4" s="3"/>
      <c r="B4" s="40" t="s">
        <v>180</v>
      </c>
      <c r="C4" s="40"/>
      <c r="D4" s="40"/>
    </row>
    <row r="5" spans="1:5" x14ac:dyDescent="0.3">
      <c r="A5" t="s">
        <v>181</v>
      </c>
      <c r="B5" s="41" t="s">
        <v>182</v>
      </c>
      <c r="C5" s="41"/>
      <c r="D5" s="41"/>
    </row>
    <row r="6" spans="1:5" x14ac:dyDescent="0.3">
      <c r="A6" t="s">
        <v>181</v>
      </c>
      <c r="B6" s="9" t="str" cm="1">
        <f t="array" ref="B6">"#Include " &amp; path &amp; E6</f>
        <v>#Include D:\NT\Cloud\OneDrive\Ap\Apps\Ahk\App_auto\Automate_prd.ahk</v>
      </c>
      <c r="C6" s="9"/>
      <c r="D6" s="9"/>
      <c r="E6" t="s">
        <v>183</v>
      </c>
    </row>
    <row r="7" spans="1:5" x14ac:dyDescent="0.3">
      <c r="B7" s="9" t="str" cm="1">
        <f t="array" ref="B7">"#Include " &amp; path &amp; E7</f>
        <v>#Include D:\NT\Cloud\OneDrive\Ap\Apps\Ahk\App_auto\Automate_dev.ahk</v>
      </c>
      <c r="C7" s="9"/>
      <c r="D7" s="9"/>
      <c r="E7" t="s">
        <v>184</v>
      </c>
    </row>
    <row r="8" spans="1:5" x14ac:dyDescent="0.3">
      <c r="B8" s="9" t="str" cm="1">
        <f t="array" ref="B8">"#Include " &amp; path &amp; E8</f>
        <v>#Include D:\NT\Cloud\OneDrive\Ap\Apps\Ahk\App_auto\WinClipAPI.ahk</v>
      </c>
      <c r="C8" s="9"/>
      <c r="D8" s="9"/>
      <c r="E8" t="s">
        <v>884</v>
      </c>
    </row>
    <row r="9" spans="1:5" x14ac:dyDescent="0.3">
      <c r="B9" s="9"/>
      <c r="C9" s="9"/>
      <c r="D9" s="9"/>
    </row>
    <row r="10" spans="1:5" s="1" customFormat="1" x14ac:dyDescent="0.3">
      <c r="A10" s="3"/>
      <c r="B10" s="40" t="s">
        <v>185</v>
      </c>
      <c r="C10" s="40"/>
      <c r="D10" s="40"/>
    </row>
    <row r="11" spans="1:5" s="6" customFormat="1" x14ac:dyDescent="0.3">
      <c r="A11" s="6" t="s">
        <v>181</v>
      </c>
      <c r="B11" s="41" t="str">
        <f>_xlfn.CONCAT("GroupAdd gr_launcher, ",E11)</f>
        <v>GroupAdd gr_launcher, ahk_exe listary.exe</v>
      </c>
      <c r="C11" s="41"/>
      <c r="D11" s="41"/>
      <c r="E11" s="6" t="s">
        <v>910</v>
      </c>
    </row>
    <row r="12" spans="1:5" s="6" customFormat="1" x14ac:dyDescent="0.3">
      <c r="A12" s="6" t="s">
        <v>181</v>
      </c>
      <c r="B12" s="41" t="str">
        <f>_xlfn.CONCAT("GroupAdd gr_launcher, ",E12)</f>
        <v>GroupAdd gr_launcher, ahk_exe everything.exe</v>
      </c>
      <c r="C12" s="41"/>
      <c r="D12" s="41"/>
      <c r="E12" s="6" t="s">
        <v>909</v>
      </c>
    </row>
    <row r="13" spans="1:5" s="6" customFormat="1" x14ac:dyDescent="0.3">
      <c r="B13" s="31"/>
      <c r="C13" s="31"/>
      <c r="D13" s="31"/>
    </row>
    <row r="14" spans="1:5" s="6" customFormat="1" x14ac:dyDescent="0.3">
      <c r="A14" s="6" t="s">
        <v>181</v>
      </c>
      <c r="B14" s="41" t="str">
        <f>_xlfn.CONCAT("GroupAdd gr_launcher_hs, ",E14)</f>
        <v>GroupAdd gr_launcher_hs, ahk_exe everything.exe</v>
      </c>
      <c r="C14" s="41"/>
      <c r="D14" s="41"/>
      <c r="E14" s="6" t="s">
        <v>909</v>
      </c>
    </row>
    <row r="15" spans="1:5" s="6" customFormat="1" x14ac:dyDescent="0.3">
      <c r="A15" s="6" t="s">
        <v>181</v>
      </c>
      <c r="B15" s="41" t="str">
        <f>_xlfn.CONCAT("GroupAdd gr_launcher_app, ",E15)</f>
        <v>GroupAdd gr_launcher_app, ahk_exe switcheroo.exe</v>
      </c>
      <c r="C15" s="41"/>
      <c r="D15" s="41"/>
      <c r="E15" s="32" t="s">
        <v>157</v>
      </c>
    </row>
    <row r="16" spans="1:5" s="6" customFormat="1" x14ac:dyDescent="0.3">
      <c r="B16" s="24"/>
      <c r="C16" s="24"/>
      <c r="D16" s="24"/>
    </row>
    <row r="17" spans="1:10" s="6" customFormat="1" x14ac:dyDescent="0.3">
      <c r="A17" s="6" t="s">
        <v>181</v>
      </c>
      <c r="B17" s="41" t="s">
        <v>186</v>
      </c>
      <c r="C17" s="41"/>
      <c r="D17" s="41"/>
    </row>
    <row r="18" spans="1:10" s="6" customFormat="1" x14ac:dyDescent="0.3">
      <c r="A18" s="6" t="s">
        <v>181</v>
      </c>
      <c r="B18" s="41" t="s">
        <v>187</v>
      </c>
      <c r="C18" s="41"/>
      <c r="D18" s="41"/>
    </row>
    <row r="19" spans="1:10" s="6" customFormat="1" x14ac:dyDescent="0.3">
      <c r="B19" s="1"/>
      <c r="C19" s="1"/>
      <c r="D19" s="1"/>
    </row>
    <row r="20" spans="1:10" s="6" customFormat="1" x14ac:dyDescent="0.3">
      <c r="B20" s="40" t="s">
        <v>188</v>
      </c>
      <c r="C20" s="40"/>
      <c r="D20" s="40"/>
    </row>
    <row r="21" spans="1:10" x14ac:dyDescent="0.3">
      <c r="A21" s="6"/>
      <c r="B21" s="43" t="s">
        <v>189</v>
      </c>
      <c r="C21" s="43"/>
      <c r="D21" s="43"/>
    </row>
    <row r="22" spans="1:10" s="1" customFormat="1" x14ac:dyDescent="0.3">
      <c r="A22" s="1" t="s">
        <v>181</v>
      </c>
      <c r="B22" s="37" t="s">
        <v>1268</v>
      </c>
      <c r="C22" s="9"/>
      <c r="D22" s="9"/>
    </row>
    <row r="23" spans="1:10" s="10" customFormat="1" x14ac:dyDescent="0.3">
      <c r="B23" s="23"/>
      <c r="C23" s="23"/>
      <c r="D23" s="23"/>
    </row>
    <row r="24" spans="1:10" s="6" customFormat="1" x14ac:dyDescent="0.3">
      <c r="B24" s="42" t="s">
        <v>190</v>
      </c>
      <c r="C24" s="42"/>
      <c r="D24" s="42"/>
    </row>
    <row r="25" spans="1:10" x14ac:dyDescent="0.3">
      <c r="A25" s="6"/>
      <c r="B25" s="16" t="str">
        <f>_xlfn.CONCAT("A_automate_dir = ",path)</f>
        <v>A_automate_dir = D:\NT\Cloud\OneDrive\Ap\Apps\Ahk\App_auto\</v>
      </c>
      <c r="C25" s="16"/>
      <c r="D25" s="16"/>
    </row>
    <row r="26" spans="1:10" s="6" customFormat="1" x14ac:dyDescent="0.3">
      <c r="B26" s="16" t="s">
        <v>1419</v>
      </c>
      <c r="C26" s="16"/>
      <c r="D26" s="16"/>
      <c r="E26" s="36"/>
    </row>
    <row r="27" spans="1:10" s="6" customFormat="1" x14ac:dyDescent="0.3">
      <c r="B27" s="16" t="s">
        <v>1417</v>
      </c>
      <c r="C27" s="16"/>
      <c r="D27" s="16"/>
      <c r="E27" s="36"/>
    </row>
    <row r="28" spans="1:10" s="1" customFormat="1" x14ac:dyDescent="0.3">
      <c r="B28" s="16" t="str">
        <f>CONCATENATE("ui.varmemoryset(",quote,E28,quoteclose)</f>
        <v>ui.varmemoryset("D:\nt\cloud\OneDrive\Ap\Apps\Ahk\App_omnia\omt.ini")</v>
      </c>
      <c r="C28" s="9"/>
      <c r="D28" s="9"/>
      <c r="E28" s="1" t="s">
        <v>926</v>
      </c>
      <c r="J28" s="14"/>
    </row>
    <row r="29" spans="1:10" s="1" customFormat="1" x14ac:dyDescent="0.3">
      <c r="B29" s="16" t="str">
        <f>CONCATENATE("ui.varmemoryset(",quote,E29,quoteclose)</f>
        <v>ui.varmemoryset("files\automate.ini")</v>
      </c>
      <c r="C29" s="9"/>
      <c r="D29" s="9"/>
      <c r="E29" s="1" t="s">
        <v>191</v>
      </c>
    </row>
    <row r="30" spans="1:10" s="6" customFormat="1" x14ac:dyDescent="0.3">
      <c r="B30" s="42" t="s">
        <v>192</v>
      </c>
      <c r="C30" s="42"/>
      <c r="D30" s="42"/>
    </row>
  </sheetData>
  <mergeCells count="13">
    <mergeCell ref="B30:D30"/>
    <mergeCell ref="B20:D20"/>
    <mergeCell ref="B17:D17"/>
    <mergeCell ref="B18:D18"/>
    <mergeCell ref="B21:D21"/>
    <mergeCell ref="B4:D4"/>
    <mergeCell ref="B10:D10"/>
    <mergeCell ref="B11:D11"/>
    <mergeCell ref="B24:D24"/>
    <mergeCell ref="B5:D5"/>
    <mergeCell ref="B12:D12"/>
    <mergeCell ref="B14:D14"/>
    <mergeCell ref="B15:D15"/>
  </mergeCells>
  <phoneticPr fontId="24" type="noConversion"/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3"/>
  <dimension ref="A1:E21"/>
  <sheetViews>
    <sheetView zoomScaleNormal="100" workbookViewId="0">
      <selection activeCell="D33" sqref="D33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3"/>
      <c r="B2" s="44" t="str">
        <f>E2</f>
        <v>Hs.</v>
      </c>
      <c r="C2" s="44"/>
      <c r="D2" s="44"/>
      <c r="E2" s="19" t="s">
        <v>194</v>
      </c>
    </row>
    <row r="3" spans="1:5" x14ac:dyDescent="0.3">
      <c r="D3" s="9"/>
    </row>
    <row r="4" spans="1:5" x14ac:dyDescent="0.3">
      <c r="B4" s="45" t="str">
        <f>E4</f>
        <v>Key Left EN.</v>
      </c>
      <c r="C4" s="45"/>
      <c r="D4" s="45"/>
      <c r="E4" s="19" t="s">
        <v>195</v>
      </c>
    </row>
    <row r="5" spans="1:5" x14ac:dyDescent="0.3">
      <c r="B5" s="1" t="s">
        <v>196</v>
      </c>
      <c r="C5" s="1" t="s">
        <v>197</v>
      </c>
      <c r="D5" s="9" t="s">
        <v>198</v>
      </c>
    </row>
    <row r="6" spans="1:5" x14ac:dyDescent="0.3">
      <c r="B6" s="1" t="s">
        <v>199</v>
      </c>
      <c r="C6" s="1" t="s">
        <v>197</v>
      </c>
      <c r="D6" s="9" t="str">
        <f>CONCATENATE("Send %",E6,"%")</f>
        <v>Send %%</v>
      </c>
    </row>
    <row r="7" spans="1:5" x14ac:dyDescent="0.3">
      <c r="B7" s="1" t="s">
        <v>200</v>
      </c>
      <c r="C7" s="1" t="s">
        <v>197</v>
      </c>
      <c r="D7" s="9" t="str">
        <f>CONCATENATE("Send %",E7,"%")</f>
        <v>Send %%</v>
      </c>
    </row>
    <row r="8" spans="1:5" x14ac:dyDescent="0.3">
      <c r="B8" s="1" t="s">
        <v>201</v>
      </c>
      <c r="C8" s="1" t="s">
        <v>197</v>
      </c>
      <c r="D8" s="9" t="str">
        <f>CONCATENATE("Send %",E8,"%")</f>
        <v>Send %%</v>
      </c>
    </row>
    <row r="9" spans="1:5" x14ac:dyDescent="0.3">
      <c r="D9" s="9"/>
    </row>
    <row r="10" spans="1:5" x14ac:dyDescent="0.3">
      <c r="B10" s="1" t="s">
        <v>202</v>
      </c>
      <c r="C10" s="1" t="s">
        <v>197</v>
      </c>
      <c r="D10" s="9" t="str">
        <f>CONCATENATE("Send %",E10,"%")</f>
        <v>Send %%</v>
      </c>
    </row>
    <row r="11" spans="1:5" x14ac:dyDescent="0.3">
      <c r="B11" s="1" t="s">
        <v>203</v>
      </c>
      <c r="C11" s="1" t="s">
        <v>197</v>
      </c>
      <c r="D11" s="9" t="str">
        <f>CONCATENATE("Send %",E11,"%")</f>
        <v>Send %%</v>
      </c>
    </row>
    <row r="13" spans="1:5" x14ac:dyDescent="0.3">
      <c r="A13" s="3"/>
      <c r="B13" s="45" t="str">
        <f>E13</f>
        <v>Key Right EN.</v>
      </c>
      <c r="C13" s="45"/>
      <c r="D13" s="45"/>
      <c r="E13" s="19" t="s">
        <v>204</v>
      </c>
    </row>
    <row r="14" spans="1:5" x14ac:dyDescent="0.3">
      <c r="B14" s="1" t="s">
        <v>205</v>
      </c>
      <c r="C14" s="1" t="s">
        <v>197</v>
      </c>
      <c r="D14" s="9" t="str">
        <f>CONCATENATE("Send %",E14,"%")</f>
        <v>Send %%</v>
      </c>
    </row>
    <row r="15" spans="1:5" x14ac:dyDescent="0.3">
      <c r="B15" s="1" t="s">
        <v>206</v>
      </c>
      <c r="C15" s="1" t="s">
        <v>197</v>
      </c>
      <c r="D15" s="9" t="str">
        <f>CONCATENATE("Send %",E15,"%")</f>
        <v>Send %%</v>
      </c>
    </row>
    <row r="17" spans="2:5" x14ac:dyDescent="0.3">
      <c r="B17" s="45" t="str">
        <f>E17</f>
        <v>#Win</v>
      </c>
      <c r="C17" s="45"/>
      <c r="D17" s="45"/>
      <c r="E17" s="19" t="s">
        <v>207</v>
      </c>
    </row>
    <row r="18" spans="2:5" x14ac:dyDescent="0.3">
      <c r="B18" s="1" t="s">
        <v>208</v>
      </c>
      <c r="C18" s="1" t="s">
        <v>197</v>
      </c>
      <c r="D18" s="9" t="s">
        <v>209</v>
      </c>
    </row>
    <row r="19" spans="2:5" x14ac:dyDescent="0.3">
      <c r="B19" s="1" t="s">
        <v>210</v>
      </c>
      <c r="C19" s="1" t="s">
        <v>197</v>
      </c>
      <c r="D19" s="9" t="str">
        <f>CONCATENATE("go.run(",quote,E19,quoteclose)</f>
        <v>go.run("A_xyplorer")</v>
      </c>
      <c r="E19" s="1" t="s">
        <v>56</v>
      </c>
    </row>
    <row r="20" spans="2:5" x14ac:dyDescent="0.3">
      <c r="B20" s="1" t="s">
        <v>211</v>
      </c>
      <c r="C20" s="1" t="s">
        <v>197</v>
      </c>
      <c r="D20" s="9"/>
    </row>
    <row r="21" spans="2:5" x14ac:dyDescent="0.3">
      <c r="B21" s="1" t="s">
        <v>212</v>
      </c>
      <c r="C21" s="1" t="s">
        <v>197</v>
      </c>
      <c r="D21" s="9"/>
    </row>
  </sheetData>
  <dataConsolidate function="average">
    <dataRefs count="5">
      <dataRef ref="B1:D1048576" sheet="1_app"/>
      <dataRef ref="B1:D1048576" sheet="1_dev"/>
      <dataRef ref="B1:D1048576" sheet="3_saplogon"/>
      <dataRef ref="B1:D1048576" sheet="4_browser_adm"/>
      <dataRef ref="B1:D1048576" sheet="4_win_adm"/>
    </dataRefs>
  </dataConsolidate>
  <mergeCells count="4">
    <mergeCell ref="B2:D2"/>
    <mergeCell ref="B4:D4"/>
    <mergeCell ref="B13:D13"/>
    <mergeCell ref="B17:D17"/>
  </mergeCells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36C3D-9027-46F3-930C-46CCFB92EAE8}">
  <sheetPr codeName="Hoja19">
    <tabColor rgb="FF002060"/>
  </sheetPr>
  <dimension ref="A1:E49"/>
  <sheetViews>
    <sheetView zoomScaleNormal="100" workbookViewId="0">
      <selection activeCell="D9" sqref="D9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3" spans="1:5" x14ac:dyDescent="0.3">
      <c r="A3" s="1" t="s">
        <v>228</v>
      </c>
      <c r="B3" s="45" t="str">
        <f>E3</f>
        <v>Windows General.</v>
      </c>
      <c r="C3" s="45"/>
      <c r="D3" s="45"/>
      <c r="E3" s="19" t="s">
        <v>229</v>
      </c>
    </row>
    <row r="4" spans="1:5" x14ac:dyDescent="0.3">
      <c r="A4" s="1" t="s">
        <v>181</v>
      </c>
      <c r="B4" s="1" t="s">
        <v>235</v>
      </c>
      <c r="C4" s="1" t="s">
        <v>197</v>
      </c>
      <c r="D4" s="9" t="s">
        <v>236</v>
      </c>
    </row>
    <row r="5" spans="1:5" x14ac:dyDescent="0.3">
      <c r="A5" s="1" t="s">
        <v>181</v>
      </c>
      <c r="B5" s="1" t="s">
        <v>212</v>
      </c>
      <c r="C5" s="1" t="s">
        <v>197</v>
      </c>
      <c r="D5" s="9" t="s">
        <v>1003</v>
      </c>
      <c r="E5" s="1" t="s">
        <v>929</v>
      </c>
    </row>
    <row r="7" spans="1:5" x14ac:dyDescent="0.3">
      <c r="B7" s="45" t="str">
        <f>E7</f>
        <v>Fx</v>
      </c>
      <c r="C7" s="45"/>
      <c r="D7" s="45"/>
      <c r="E7" s="19" t="s">
        <v>233</v>
      </c>
    </row>
    <row r="8" spans="1:5" x14ac:dyDescent="0.3">
      <c r="B8" s="46" t="s">
        <v>862</v>
      </c>
      <c r="C8" s="46"/>
      <c r="D8" s="46"/>
    </row>
    <row r="9" spans="1:5" x14ac:dyDescent="0.3">
      <c r="A9" s="1" t="s">
        <v>181</v>
      </c>
      <c r="B9" s="6" t="s">
        <v>1264</v>
      </c>
      <c r="C9" s="1" t="s">
        <v>197</v>
      </c>
      <c r="D9" s="9" t="str">
        <f>CONCATENATE("go.run(",quote,E9,quoteclose)</f>
        <v>go.run("zomt_logon0")</v>
      </c>
      <c r="E9" s="4" t="s">
        <v>1247</v>
      </c>
    </row>
    <row r="10" spans="1:5" x14ac:dyDescent="0.3">
      <c r="A10" s="1" t="s">
        <v>181</v>
      </c>
      <c r="B10" s="6" t="s">
        <v>1269</v>
      </c>
      <c r="C10" s="1" t="s">
        <v>197</v>
      </c>
      <c r="D10" s="9" t="str">
        <f>CONCATENATE("go.sap.logon(",quote,E10,quoteclose)</f>
        <v>go.sap.logon("zomt_logon1")</v>
      </c>
      <c r="E10" s="4" t="s">
        <v>248</v>
      </c>
    </row>
    <row r="11" spans="1:5" x14ac:dyDescent="0.3">
      <c r="A11" s="1" t="s">
        <v>181</v>
      </c>
      <c r="B11" s="1" t="s">
        <v>1270</v>
      </c>
      <c r="C11" s="1" t="s">
        <v>197</v>
      </c>
      <c r="D11" s="9" t="str">
        <f>CONCATENATE("go.sap.logon(",quote,E11,quoteclose)</f>
        <v>go.sap.logon("zomt_logon2")</v>
      </c>
      <c r="E11" s="4" t="s">
        <v>250</v>
      </c>
    </row>
    <row r="12" spans="1:5" x14ac:dyDescent="0.3">
      <c r="A12" s="1" t="s">
        <v>181</v>
      </c>
      <c r="B12" s="1" t="s">
        <v>1271</v>
      </c>
      <c r="C12" s="1" t="s">
        <v>197</v>
      </c>
      <c r="D12" s="9" t="str">
        <f>CONCATENATE("go.sap.logon(",quote,E12,quoteclose)</f>
        <v>go.sap.logon("zomt_logon3")</v>
      </c>
      <c r="E12" s="4" t="s">
        <v>785</v>
      </c>
    </row>
    <row r="13" spans="1:5" x14ac:dyDescent="0.3">
      <c r="B13" s="6" t="s">
        <v>1248</v>
      </c>
      <c r="C13" s="1" t="s">
        <v>197</v>
      </c>
      <c r="D13" s="9" t="str">
        <f t="shared" ref="D13:D20" si="0">CONCATENATE("go.run(",quote,E13,quoteclose)</f>
        <v>go.run("")</v>
      </c>
    </row>
    <row r="14" spans="1:5" x14ac:dyDescent="0.3">
      <c r="B14" s="1" t="s">
        <v>1249</v>
      </c>
      <c r="C14" s="1" t="s">
        <v>197</v>
      </c>
      <c r="D14" s="9" t="str">
        <f t="shared" si="0"/>
        <v>go.run("")</v>
      </c>
    </row>
    <row r="15" spans="1:5" x14ac:dyDescent="0.3">
      <c r="B15" s="1" t="s">
        <v>1250</v>
      </c>
      <c r="C15" s="1" t="s">
        <v>197</v>
      </c>
      <c r="D15" s="9" t="str">
        <f t="shared" si="0"/>
        <v>go.run("")</v>
      </c>
    </row>
    <row r="16" spans="1:5" x14ac:dyDescent="0.3">
      <c r="B16" s="1" t="s">
        <v>1254</v>
      </c>
      <c r="C16" s="1" t="s">
        <v>197</v>
      </c>
      <c r="D16" s="9" t="str">
        <f t="shared" si="0"/>
        <v>go.run("")</v>
      </c>
    </row>
    <row r="17" spans="2:5" x14ac:dyDescent="0.3">
      <c r="B17" s="1" t="s">
        <v>1255</v>
      </c>
      <c r="C17" s="1" t="s">
        <v>197</v>
      </c>
      <c r="D17" s="9" t="str">
        <f t="shared" si="0"/>
        <v>go.run("")</v>
      </c>
    </row>
    <row r="18" spans="2:5" x14ac:dyDescent="0.3">
      <c r="B18" s="1" t="s">
        <v>1256</v>
      </c>
      <c r="C18" s="1" t="s">
        <v>197</v>
      </c>
      <c r="D18" s="9" t="str">
        <f t="shared" si="0"/>
        <v>go.run("")</v>
      </c>
    </row>
    <row r="19" spans="2:5" x14ac:dyDescent="0.3">
      <c r="B19" s="1" t="s">
        <v>1257</v>
      </c>
      <c r="C19" s="1" t="s">
        <v>197</v>
      </c>
      <c r="D19" s="9" t="str">
        <f t="shared" si="0"/>
        <v>go.run("")</v>
      </c>
    </row>
    <row r="20" spans="2:5" x14ac:dyDescent="0.3">
      <c r="B20" s="1" t="s">
        <v>1258</v>
      </c>
      <c r="C20" s="1" t="s">
        <v>197</v>
      </c>
      <c r="D20" s="9" t="str">
        <f t="shared" si="0"/>
        <v>go.run("")</v>
      </c>
    </row>
    <row r="21" spans="2:5" x14ac:dyDescent="0.3">
      <c r="D21" s="9"/>
    </row>
    <row r="22" spans="2:5" x14ac:dyDescent="0.3">
      <c r="B22" s="6" t="s">
        <v>975</v>
      </c>
      <c r="C22" s="1" t="s">
        <v>197</v>
      </c>
      <c r="D22" s="9" t="str">
        <f>CONCATENATE("go.sap.logon(",quote,E22,quoteclose)</f>
        <v>go.sap.logon("")</v>
      </c>
      <c r="E22" s="4"/>
    </row>
    <row r="23" spans="2:5" x14ac:dyDescent="0.3">
      <c r="B23" s="1" t="s">
        <v>976</v>
      </c>
      <c r="C23" s="1" t="s">
        <v>197</v>
      </c>
      <c r="D23" s="9" t="str">
        <f>CONCATENATE("go.sap.logon(",quote,E23,quoteclose)</f>
        <v>go.sap.logon("")</v>
      </c>
      <c r="E23" s="4"/>
    </row>
    <row r="24" spans="2:5" x14ac:dyDescent="0.3">
      <c r="B24" s="1" t="s">
        <v>977</v>
      </c>
      <c r="C24" s="1" t="s">
        <v>197</v>
      </c>
      <c r="D24" s="9" t="str">
        <f>CONCATENATE("go.sap.logon(",quote,E24,quoteclose)</f>
        <v>go.sap.logon("")</v>
      </c>
      <c r="E24" s="4"/>
    </row>
    <row r="26" spans="2:5" x14ac:dyDescent="0.3">
      <c r="B26" s="45" t="str">
        <f>E26</f>
        <v>Numpad.</v>
      </c>
      <c r="C26" s="45"/>
      <c r="D26" s="45"/>
      <c r="E26" s="19" t="s">
        <v>237</v>
      </c>
    </row>
    <row r="27" spans="2:5" x14ac:dyDescent="0.3">
      <c r="B27" s="12" t="s">
        <v>251</v>
      </c>
      <c r="C27" s="1" t="s">
        <v>197</v>
      </c>
      <c r="D27" s="9" t="str">
        <f>CONCATENATE("go.run_ost(",quote,E27,quoteclose)</f>
        <v>go.run_ost("")</v>
      </c>
      <c r="E27" s="4"/>
    </row>
    <row r="28" spans="2:5" x14ac:dyDescent="0.3">
      <c r="B28" s="12" t="s">
        <v>794</v>
      </c>
      <c r="C28" s="1" t="s">
        <v>197</v>
      </c>
      <c r="D28" s="9"/>
    </row>
    <row r="29" spans="2:5" x14ac:dyDescent="0.3">
      <c r="B29" s="12" t="s">
        <v>797</v>
      </c>
      <c r="C29" s="1" t="s">
        <v>197</v>
      </c>
      <c r="D29" s="9"/>
    </row>
    <row r="30" spans="2:5" x14ac:dyDescent="0.3">
      <c r="B30" s="12" t="s">
        <v>796</v>
      </c>
      <c r="C30" s="1" t="s">
        <v>197</v>
      </c>
      <c r="D30" s="9"/>
      <c r="E30" s="4"/>
    </row>
    <row r="31" spans="2:5" x14ac:dyDescent="0.3">
      <c r="B31" s="12" t="s">
        <v>795</v>
      </c>
      <c r="C31" s="1" t="s">
        <v>197</v>
      </c>
      <c r="D31" s="9"/>
    </row>
    <row r="33" spans="1:5" x14ac:dyDescent="0.3">
      <c r="B33" s="12" t="s">
        <v>238</v>
      </c>
      <c r="C33" s="1" t="s">
        <v>197</v>
      </c>
      <c r="D33" s="9"/>
    </row>
    <row r="34" spans="1:5" x14ac:dyDescent="0.3">
      <c r="B34" s="12" t="s">
        <v>239</v>
      </c>
      <c r="C34" s="1" t="s">
        <v>197</v>
      </c>
      <c r="D34" s="9"/>
    </row>
    <row r="35" spans="1:5" x14ac:dyDescent="0.3">
      <c r="B35" s="12" t="s">
        <v>240</v>
      </c>
      <c r="C35" s="1" t="s">
        <v>197</v>
      </c>
      <c r="D35" s="9"/>
    </row>
    <row r="37" spans="1:5" x14ac:dyDescent="0.3">
      <c r="B37" s="1" t="s">
        <v>241</v>
      </c>
      <c r="C37" s="1" t="s">
        <v>197</v>
      </c>
      <c r="D37" s="9"/>
    </row>
    <row r="38" spans="1:5" x14ac:dyDescent="0.3">
      <c r="B38" s="6" t="s">
        <v>242</v>
      </c>
      <c r="C38" s="1" t="s">
        <v>197</v>
      </c>
      <c r="D38" s="9"/>
    </row>
    <row r="39" spans="1:5" x14ac:dyDescent="0.3">
      <c r="B39" s="1" t="s">
        <v>243</v>
      </c>
      <c r="C39" s="1" t="s">
        <v>197</v>
      </c>
      <c r="D39" s="9"/>
    </row>
    <row r="41" spans="1:5" x14ac:dyDescent="0.3">
      <c r="B41" s="12" t="s">
        <v>244</v>
      </c>
      <c r="C41" s="1" t="s">
        <v>197</v>
      </c>
      <c r="D41" s="9" t="str">
        <f>CONCATENATE("go.run_docu(",quote,E41,quoteclose)</f>
        <v>go.run_docu("")</v>
      </c>
      <c r="E41" s="4"/>
    </row>
    <row r="42" spans="1:5" x14ac:dyDescent="0.3">
      <c r="B42" s="12" t="s">
        <v>245</v>
      </c>
      <c r="C42" s="1" t="s">
        <v>197</v>
      </c>
      <c r="D42" s="9" t="str">
        <f>CONCATENATE("go.run_docu(",quote,E42,quoteclose)</f>
        <v>go.run_docu("")</v>
      </c>
    </row>
    <row r="43" spans="1:5" x14ac:dyDescent="0.3">
      <c r="B43" s="12" t="s">
        <v>246</v>
      </c>
      <c r="C43" s="1" t="s">
        <v>197</v>
      </c>
      <c r="D43" s="9" t="str">
        <f>CONCATENATE("go.run_docu(",quote,E43,quoteclose)</f>
        <v>go.run_docu("")</v>
      </c>
    </row>
    <row r="45" spans="1:5" x14ac:dyDescent="0.3">
      <c r="B45" s="1" t="s">
        <v>247</v>
      </c>
      <c r="C45" s="1" t="s">
        <v>197</v>
      </c>
      <c r="D45" s="9"/>
      <c r="E45" s="4"/>
    </row>
    <row r="46" spans="1:5" x14ac:dyDescent="0.3">
      <c r="B46" s="1" t="s">
        <v>249</v>
      </c>
      <c r="C46" s="1" t="s">
        <v>197</v>
      </c>
      <c r="D46" s="9"/>
    </row>
    <row r="48" spans="1:5" x14ac:dyDescent="0.3">
      <c r="A48" s="1" t="s">
        <v>181</v>
      </c>
      <c r="B48" s="47" t="str">
        <f>ifwinactive_title&amp;E48</f>
        <v>#IfWinActive Automate_</v>
      </c>
      <c r="C48" s="47"/>
      <c r="D48" s="47"/>
      <c r="E48" s="19" t="s">
        <v>257</v>
      </c>
    </row>
    <row r="49" spans="1:4" x14ac:dyDescent="0.3">
      <c r="A49" s="1" t="s">
        <v>181</v>
      </c>
      <c r="B49" s="1" t="s">
        <v>258</v>
      </c>
      <c r="C49" s="1" t="s">
        <v>197</v>
      </c>
      <c r="D49" s="1" t="s">
        <v>259</v>
      </c>
    </row>
  </sheetData>
  <dataConsolidate/>
  <mergeCells count="5">
    <mergeCell ref="B7:D7"/>
    <mergeCell ref="B8:D8"/>
    <mergeCell ref="B3:D3"/>
    <mergeCell ref="B26:D26"/>
    <mergeCell ref="B48:D48"/>
  </mergeCells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2">
    <tabColor rgb="FF7030A0"/>
  </sheetPr>
  <dimension ref="A1:E104"/>
  <sheetViews>
    <sheetView topLeftCell="A37" zoomScaleNormal="100" workbookViewId="0">
      <selection activeCell="D48" sqref="D48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3"/>
      <c r="B2" s="44" t="str">
        <f>E2</f>
        <v>Hs.</v>
      </c>
      <c r="C2" s="44"/>
      <c r="D2" s="44"/>
      <c r="E2" s="19" t="s">
        <v>194</v>
      </c>
    </row>
    <row r="3" spans="1:5" x14ac:dyDescent="0.3">
      <c r="A3" s="1" t="s">
        <v>181</v>
      </c>
      <c r="B3" s="1" t="s">
        <v>800</v>
      </c>
      <c r="C3" s="1" t="s">
        <v>197</v>
      </c>
      <c r="D3" s="9" t="str">
        <f>CONCATENATE("ui.sendcopy(",E3,close)</f>
        <v>ui.sendcopy("ñ","","backspace")</v>
      </c>
      <c r="E3" s="1" t="s">
        <v>1246</v>
      </c>
    </row>
    <row r="4" spans="1:5" x14ac:dyDescent="0.3">
      <c r="A4" s="1" t="s">
        <v>181</v>
      </c>
      <c r="B4" s="1" t="s">
        <v>221</v>
      </c>
      <c r="C4" s="1" t="s">
        <v>197</v>
      </c>
      <c r="D4" s="9"/>
    </row>
    <row r="5" spans="1:5" x14ac:dyDescent="0.3">
      <c r="A5" s="1" t="s">
        <v>181</v>
      </c>
      <c r="B5" s="1" t="s">
        <v>222</v>
      </c>
      <c r="C5" s="1" t="s">
        <v>197</v>
      </c>
      <c r="D5" s="9"/>
    </row>
    <row r="6" spans="1:5" x14ac:dyDescent="0.3">
      <c r="A6" s="1" t="s">
        <v>181</v>
      </c>
      <c r="B6" s="1" t="s">
        <v>783</v>
      </c>
      <c r="C6" s="1" t="s">
        <v>197</v>
      </c>
      <c r="D6" s="9"/>
    </row>
    <row r="7" spans="1:5" x14ac:dyDescent="0.3">
      <c r="A7" s="1" t="s">
        <v>181</v>
      </c>
      <c r="D7" s="9" t="s">
        <v>223</v>
      </c>
      <c r="E7" s="1" t="s">
        <v>217</v>
      </c>
    </row>
    <row r="8" spans="1:5" x14ac:dyDescent="0.3">
      <c r="A8" s="1" t="s">
        <v>181</v>
      </c>
      <c r="B8" s="1" t="s">
        <v>224</v>
      </c>
      <c r="C8" s="1" t="s">
        <v>197</v>
      </c>
      <c r="D8" s="9"/>
    </row>
    <row r="9" spans="1:5" x14ac:dyDescent="0.3">
      <c r="A9" s="1" t="s">
        <v>181</v>
      </c>
      <c r="B9" s="1" t="s">
        <v>225</v>
      </c>
      <c r="C9" s="1" t="s">
        <v>197</v>
      </c>
      <c r="D9" s="9"/>
    </row>
    <row r="10" spans="1:5" x14ac:dyDescent="0.3">
      <c r="A10" s="1" t="s">
        <v>181</v>
      </c>
      <c r="B10" s="1" t="s">
        <v>784</v>
      </c>
      <c r="C10" s="1" t="s">
        <v>197</v>
      </c>
      <c r="D10" s="9"/>
    </row>
    <row r="11" spans="1:5" x14ac:dyDescent="0.3">
      <c r="A11" s="1" t="s">
        <v>181</v>
      </c>
      <c r="D11" s="9" t="s">
        <v>226</v>
      </c>
      <c r="E11" s="1" t="s">
        <v>217</v>
      </c>
    </row>
    <row r="12" spans="1:5" x14ac:dyDescent="0.3">
      <c r="A12" s="1" t="s">
        <v>181</v>
      </c>
      <c r="B12" s="1" t="s">
        <v>216</v>
      </c>
      <c r="C12" s="1" t="s">
        <v>197</v>
      </c>
      <c r="D12" s="9" t="str">
        <f t="shared" ref="D12:D19" si="0">CONCATENATE("ui.sendcopy(",quote,E12,quoteclose)</f>
        <v>ui.sendcopy("zomt_ticket")</v>
      </c>
      <c r="E12" s="1" t="s">
        <v>217</v>
      </c>
    </row>
    <row r="13" spans="1:5" x14ac:dyDescent="0.3">
      <c r="A13" s="1" t="s">
        <v>181</v>
      </c>
      <c r="B13" s="1" t="s">
        <v>218</v>
      </c>
      <c r="C13" s="1" t="s">
        <v>197</v>
      </c>
      <c r="D13" s="9" t="str">
        <f t="shared" si="0"/>
        <v>ui.sendcopy("zomt_desc2")</v>
      </c>
      <c r="E13" s="1" t="s">
        <v>836</v>
      </c>
    </row>
    <row r="14" spans="1:5" x14ac:dyDescent="0.3">
      <c r="A14" s="1" t="s">
        <v>181</v>
      </c>
      <c r="B14" s="1" t="s">
        <v>835</v>
      </c>
      <c r="C14" s="1" t="s">
        <v>197</v>
      </c>
      <c r="D14" s="9" t="str">
        <f t="shared" si="0"/>
        <v>ui.sendcopy("zomt_desc3")</v>
      </c>
      <c r="E14" s="1" t="s">
        <v>1275</v>
      </c>
    </row>
    <row r="15" spans="1:5" x14ac:dyDescent="0.3">
      <c r="A15" s="1" t="s">
        <v>181</v>
      </c>
      <c r="B15" s="1" t="s">
        <v>1274</v>
      </c>
      <c r="C15" s="1" t="s">
        <v>197</v>
      </c>
      <c r="D15" s="9" t="str">
        <f t="shared" si="0"/>
        <v>ui.sendcopy("zomt_desc4")</v>
      </c>
      <c r="E15" s="1" t="s">
        <v>1388</v>
      </c>
    </row>
    <row r="16" spans="1:5" x14ac:dyDescent="0.3">
      <c r="A16" s="1" t="s">
        <v>181</v>
      </c>
      <c r="B16" s="1" t="s">
        <v>219</v>
      </c>
      <c r="C16" s="1" t="s">
        <v>197</v>
      </c>
      <c r="D16" s="9" t="str">
        <f t="shared" si="0"/>
        <v>ui.sendcopy("A_day_en")</v>
      </c>
      <c r="E16" s="1" t="s">
        <v>1273</v>
      </c>
    </row>
    <row r="17" spans="1:5" x14ac:dyDescent="0.3">
      <c r="A17" s="1" t="s">
        <v>181</v>
      </c>
      <c r="B17" s="1" t="s">
        <v>1272</v>
      </c>
      <c r="C17" s="1" t="s">
        <v>197</v>
      </c>
      <c r="D17" s="9" t="str">
        <f t="shared" si="0"/>
        <v>ui.sendcopy("A_day")</v>
      </c>
      <c r="E17" s="1" t="s">
        <v>220</v>
      </c>
    </row>
    <row r="18" spans="1:5" x14ac:dyDescent="0.3">
      <c r="A18" s="1" t="s">
        <v>181</v>
      </c>
      <c r="B18" s="1" t="s">
        <v>1294</v>
      </c>
      <c r="C18" s="1" t="s">
        <v>197</v>
      </c>
      <c r="D18" s="9" t="str">
        <f t="shared" si="0"/>
        <v>ui.sendcopy("A_day2_en")</v>
      </c>
      <c r="E18" s="1" t="s">
        <v>1372</v>
      </c>
    </row>
    <row r="19" spans="1:5" x14ac:dyDescent="0.3">
      <c r="A19" s="1" t="s">
        <v>181</v>
      </c>
      <c r="B19" s="1" t="s">
        <v>1371</v>
      </c>
      <c r="C19" s="1" t="s">
        <v>197</v>
      </c>
      <c r="D19" s="9" t="str">
        <f t="shared" si="0"/>
        <v>ui.sendcopy("A_day2")</v>
      </c>
      <c r="E19" s="1" t="s">
        <v>1373</v>
      </c>
    </row>
    <row r="21" spans="1:5" x14ac:dyDescent="0.3">
      <c r="A21" s="1" t="s">
        <v>228</v>
      </c>
      <c r="B21" s="45" t="str">
        <f>E21</f>
        <v>Windows General.</v>
      </c>
      <c r="C21" s="45"/>
      <c r="D21" s="45"/>
      <c r="E21" s="19" t="s">
        <v>229</v>
      </c>
    </row>
    <row r="22" spans="1:5" x14ac:dyDescent="0.3">
      <c r="A22" s="1" t="s">
        <v>181</v>
      </c>
      <c r="B22" s="1" t="s">
        <v>235</v>
      </c>
      <c r="C22" s="1" t="s">
        <v>197</v>
      </c>
      <c r="D22" s="9" t="s">
        <v>236</v>
      </c>
    </row>
    <row r="23" spans="1:5" x14ac:dyDescent="0.3">
      <c r="A23" s="1" t="s">
        <v>181</v>
      </c>
      <c r="B23" s="1" t="s">
        <v>230</v>
      </c>
      <c r="C23" s="1" t="s">
        <v>197</v>
      </c>
      <c r="D23" s="9" t="s">
        <v>198</v>
      </c>
    </row>
    <row r="24" spans="1:5" x14ac:dyDescent="0.3">
      <c r="B24" s="1" t="s">
        <v>231</v>
      </c>
      <c r="C24" s="1" t="s">
        <v>197</v>
      </c>
      <c r="D24" s="9" t="s">
        <v>232</v>
      </c>
    </row>
    <row r="25" spans="1:5" x14ac:dyDescent="0.3">
      <c r="B25" s="1" t="s">
        <v>876</v>
      </c>
      <c r="C25" s="1" t="s">
        <v>197</v>
      </c>
      <c r="D25" s="9" t="s">
        <v>969</v>
      </c>
    </row>
    <row r="26" spans="1:5" x14ac:dyDescent="0.3">
      <c r="B26" s="1" t="s">
        <v>877</v>
      </c>
      <c r="C26" s="1" t="s">
        <v>197</v>
      </c>
      <c r="D26" s="9" t="str">
        <f>CONCATENATE("go.run_docu(",quote,E26,quoteclose)</f>
        <v>go.run_docu("")</v>
      </c>
    </row>
    <row r="27" spans="1:5" x14ac:dyDescent="0.3">
      <c r="A27" s="1" t="s">
        <v>181</v>
      </c>
      <c r="B27" s="1" t="s">
        <v>362</v>
      </c>
      <c r="C27" s="1" t="s">
        <v>197</v>
      </c>
      <c r="D27" s="9" t="str">
        <f>CONCATENATE("go.run_docu(",quote,E27,quoteclose)</f>
        <v>go.run_docu("","x")</v>
      </c>
      <c r="E27" s="1" t="s">
        <v>1318</v>
      </c>
    </row>
    <row r="28" spans="1:5" x14ac:dyDescent="0.3">
      <c r="B28" s="13" t="s">
        <v>616</v>
      </c>
      <c r="C28" s="1" t="s">
        <v>197</v>
      </c>
      <c r="D28" s="9" t="str">
        <f>CONCATENATE("go.run(",quote,E28,quoteclose)</f>
        <v>go.run("`")</v>
      </c>
      <c r="E28" s="1" t="s">
        <v>1391</v>
      </c>
    </row>
    <row r="30" spans="1:5" x14ac:dyDescent="0.3">
      <c r="B30" s="45" t="str">
        <f>E30</f>
        <v>#*</v>
      </c>
      <c r="C30" s="45"/>
      <c r="D30" s="45"/>
      <c r="E30" s="19" t="s">
        <v>932</v>
      </c>
    </row>
    <row r="31" spans="1:5" x14ac:dyDescent="0.3">
      <c r="B31" s="1" t="s">
        <v>871</v>
      </c>
      <c r="C31" s="1" t="s">
        <v>197</v>
      </c>
      <c r="D31" s="9" t="str">
        <f>CONCATENATE("go.run(",quote,E31,quoteclose)</f>
        <v>go.run("")</v>
      </c>
    </row>
    <row r="32" spans="1:5" x14ac:dyDescent="0.3">
      <c r="B32" s="1" t="s">
        <v>872</v>
      </c>
      <c r="C32" s="1" t="s">
        <v>197</v>
      </c>
      <c r="D32" s="9" t="str">
        <f>CONCATENATE("go.run(",quote,E32,quoteclose)</f>
        <v>go.run("")</v>
      </c>
    </row>
    <row r="33" spans="1:5" x14ac:dyDescent="0.3">
      <c r="B33" s="1" t="s">
        <v>873</v>
      </c>
      <c r="C33" s="1" t="s">
        <v>197</v>
      </c>
      <c r="D33" s="9" t="str">
        <f>CONCATENATE("go.run(",quote,E33,quoteclose)</f>
        <v>go.run("")</v>
      </c>
    </row>
    <row r="34" spans="1:5" x14ac:dyDescent="0.3">
      <c r="B34" s="1" t="s">
        <v>874</v>
      </c>
      <c r="C34" s="1" t="s">
        <v>197</v>
      </c>
      <c r="D34" s="9" t="str">
        <f>CONCATENATE("go.run(",quote,E34,quoteclose)</f>
        <v>go.run("")</v>
      </c>
    </row>
    <row r="35" spans="1:5" x14ac:dyDescent="0.3">
      <c r="B35" s="1" t="s">
        <v>875</v>
      </c>
      <c r="C35" s="1" t="s">
        <v>197</v>
      </c>
      <c r="D35" s="9" t="str">
        <f>CONCATENATE("go.run(",quote,E35,quoteclose)</f>
        <v>go.run("")</v>
      </c>
    </row>
    <row r="37" spans="1:5" x14ac:dyDescent="0.3">
      <c r="B37" s="45" t="str">
        <f>E37</f>
        <v>Fx</v>
      </c>
      <c r="C37" s="45"/>
      <c r="D37" s="45"/>
      <c r="E37" s="19" t="s">
        <v>233</v>
      </c>
    </row>
    <row r="38" spans="1:5" x14ac:dyDescent="0.3">
      <c r="B38" s="46" t="s">
        <v>862</v>
      </c>
      <c r="C38" s="46"/>
      <c r="D38" s="46"/>
    </row>
    <row r="39" spans="1:5" x14ac:dyDescent="0.3">
      <c r="A39" s="1" t="s">
        <v>181</v>
      </c>
      <c r="B39" s="1" t="s">
        <v>930</v>
      </c>
      <c r="C39" s="1" t="s">
        <v>197</v>
      </c>
      <c r="D39" s="9" t="str">
        <f t="shared" ref="D39:D45" si="1">CONCATENATE("go.run(",quote,E39,quoteclose)</f>
        <v>go.run("A_groupy")</v>
      </c>
      <c r="E39" s="1" t="s">
        <v>978</v>
      </c>
    </row>
    <row r="40" spans="1:5" x14ac:dyDescent="0.3">
      <c r="A40" s="1" t="s">
        <v>181</v>
      </c>
      <c r="B40" s="1" t="s">
        <v>972</v>
      </c>
      <c r="C40" s="1" t="s">
        <v>197</v>
      </c>
      <c r="D40" s="9" t="str">
        <f t="shared" si="1"/>
        <v>go.run("A_switcheroo")</v>
      </c>
      <c r="E40" s="1" t="s">
        <v>110</v>
      </c>
    </row>
    <row r="41" spans="1:5" x14ac:dyDescent="0.3">
      <c r="B41" s="1" t="s">
        <v>973</v>
      </c>
      <c r="C41" s="1" t="s">
        <v>197</v>
      </c>
      <c r="D41" s="9" t="str">
        <f t="shared" si="1"/>
        <v>go.run("A_everything_code")</v>
      </c>
      <c r="E41" s="1" t="s">
        <v>1284</v>
      </c>
    </row>
    <row r="42" spans="1:5" x14ac:dyDescent="0.3">
      <c r="B42" s="1" t="s">
        <v>974</v>
      </c>
      <c r="C42" s="1" t="s">
        <v>197</v>
      </c>
      <c r="D42" s="9" t="str">
        <f t="shared" si="1"/>
        <v>go.run("A_switcheroo")</v>
      </c>
      <c r="E42" s="1" t="s">
        <v>110</v>
      </c>
    </row>
    <row r="43" spans="1:5" x14ac:dyDescent="0.3">
      <c r="B43" s="1" t="s">
        <v>1339</v>
      </c>
      <c r="C43" s="1" t="s">
        <v>197</v>
      </c>
      <c r="D43" s="9" t="str">
        <f t="shared" si="1"/>
        <v>go.run("A_everything")</v>
      </c>
      <c r="E43" s="1" t="s">
        <v>100</v>
      </c>
    </row>
    <row r="44" spans="1:5" x14ac:dyDescent="0.3">
      <c r="B44" s="1" t="s">
        <v>1369</v>
      </c>
      <c r="C44" s="1" t="s">
        <v>197</v>
      </c>
      <c r="D44" s="9" t="str">
        <f t="shared" si="1"/>
        <v>go.run("A_everything_code")</v>
      </c>
      <c r="E44" s="1" t="s">
        <v>1284</v>
      </c>
    </row>
    <row r="45" spans="1:5" x14ac:dyDescent="0.3">
      <c r="B45" s="1" t="s">
        <v>1370</v>
      </c>
      <c r="C45" s="1" t="s">
        <v>197</v>
      </c>
      <c r="D45" s="9" t="str">
        <f t="shared" si="1"/>
        <v>go.run("A_switcheroo")</v>
      </c>
      <c r="E45" s="1" t="s">
        <v>110</v>
      </c>
    </row>
    <row r="46" spans="1:5" x14ac:dyDescent="0.3">
      <c r="E46" s="4"/>
    </row>
    <row r="47" spans="1:5" x14ac:dyDescent="0.3">
      <c r="B47" s="45" t="str">
        <f>E47</f>
        <v>Numpad.</v>
      </c>
      <c r="C47" s="45"/>
      <c r="D47" s="45"/>
      <c r="E47" s="19" t="s">
        <v>237</v>
      </c>
    </row>
    <row r="48" spans="1:5" x14ac:dyDescent="0.3">
      <c r="B48" s="12" t="s">
        <v>251</v>
      </c>
      <c r="C48" s="1" t="s">
        <v>197</v>
      </c>
      <c r="D48" s="9" t="str">
        <f>CONCATENATE("go.run(",quote,E48,quoteclose)</f>
        <v>go.run("A_eclipse")</v>
      </c>
      <c r="E48" s="1" t="s">
        <v>60</v>
      </c>
    </row>
    <row r="49" spans="1:5" x14ac:dyDescent="0.3">
      <c r="A49" s="1" t="s">
        <v>181</v>
      </c>
      <c r="B49" s="12" t="s">
        <v>794</v>
      </c>
      <c r="C49" s="1" t="s">
        <v>197</v>
      </c>
      <c r="D49" s="9" t="str">
        <f>CONCATENATE("go.run(",quote,E49,quoteclose)</f>
        <v>go.run("A_sublime")</v>
      </c>
      <c r="E49" s="1" t="s">
        <v>1290</v>
      </c>
    </row>
    <row r="50" spans="1:5" x14ac:dyDescent="0.3">
      <c r="A50" s="1" t="s">
        <v>181</v>
      </c>
      <c r="B50" s="12" t="s">
        <v>797</v>
      </c>
      <c r="C50" s="1" t="s">
        <v>197</v>
      </c>
      <c r="D50" s="9" t="str">
        <f>CONCATENATE("go.run(",quote,E50,quoteclose)</f>
        <v>go.run("A_vscode")</v>
      </c>
      <c r="E50" s="1" t="s">
        <v>805</v>
      </c>
    </row>
    <row r="51" spans="1:5" x14ac:dyDescent="0.3">
      <c r="A51" s="1" t="s">
        <v>181</v>
      </c>
      <c r="B51" s="12" t="s">
        <v>796</v>
      </c>
      <c r="C51" s="1" t="s">
        <v>197</v>
      </c>
      <c r="D51" s="9" t="str">
        <f>CONCATENATE("go.run(",quote,E51,quoteclose)</f>
        <v>go.run("A_chrome")</v>
      </c>
      <c r="E51" s="1" t="s">
        <v>22</v>
      </c>
    </row>
    <row r="52" spans="1:5" x14ac:dyDescent="0.3">
      <c r="A52" s="1" t="s">
        <v>181</v>
      </c>
      <c r="B52" s="12" t="s">
        <v>795</v>
      </c>
      <c r="C52" s="1" t="s">
        <v>197</v>
      </c>
      <c r="D52" s="9" t="str">
        <f>CONCATENATE("go.run(",quote,E52,quoteclose)</f>
        <v>go.run("A_saplogon")</v>
      </c>
      <c r="E52" s="1" t="s">
        <v>45</v>
      </c>
    </row>
    <row r="54" spans="1:5" x14ac:dyDescent="0.3">
      <c r="A54" s="1" t="s">
        <v>181</v>
      </c>
      <c r="B54" s="12" t="s">
        <v>238</v>
      </c>
      <c r="C54" s="1" t="s">
        <v>197</v>
      </c>
      <c r="D54" s="9" t="str">
        <f>CONCATENATE("go.run(",quote,E54,quoteclose)</f>
        <v>go.run("A_excel")</v>
      </c>
      <c r="E54" s="1" t="s">
        <v>14</v>
      </c>
    </row>
    <row r="55" spans="1:5" x14ac:dyDescent="0.3">
      <c r="A55" s="1" t="s">
        <v>181</v>
      </c>
      <c r="B55" s="12" t="s">
        <v>239</v>
      </c>
      <c r="C55" s="1" t="s">
        <v>197</v>
      </c>
      <c r="D55" s="9" t="str">
        <f>CONCATENATE("go.run(",quote,E55,quoteclose)</f>
        <v>go.run("A_word")</v>
      </c>
      <c r="E55" s="1" t="s">
        <v>11</v>
      </c>
    </row>
    <row r="56" spans="1:5" x14ac:dyDescent="0.3">
      <c r="A56" s="1" t="s">
        <v>181</v>
      </c>
      <c r="B56" s="12" t="s">
        <v>240</v>
      </c>
      <c r="C56" s="1" t="s">
        <v>197</v>
      </c>
      <c r="D56" s="9" t="str">
        <f>CONCATENATE("go.run(",quote,E56,quoteclose)</f>
        <v>go.run("A_outlook")</v>
      </c>
      <c r="E56" s="1" t="s">
        <v>48</v>
      </c>
    </row>
    <row r="58" spans="1:5" x14ac:dyDescent="0.3">
      <c r="A58" s="1" t="s">
        <v>181</v>
      </c>
      <c r="B58" s="1" t="s">
        <v>241</v>
      </c>
      <c r="C58" s="1" t="s">
        <v>197</v>
      </c>
      <c r="D58" s="9" t="str">
        <f>CONCATENATE("go.run(",quote,E58,quoteclose)</f>
        <v>go.run("A_diito")</v>
      </c>
      <c r="E58" s="4" t="s">
        <v>116</v>
      </c>
    </row>
    <row r="59" spans="1:5" x14ac:dyDescent="0.3">
      <c r="A59" s="1" t="s">
        <v>181</v>
      </c>
      <c r="B59" s="6" t="s">
        <v>242</v>
      </c>
      <c r="C59" s="1" t="s">
        <v>197</v>
      </c>
      <c r="D59" s="9" t="str">
        <f>CONCATENATE("go.run(",quote,E59,quoteclose)</f>
        <v>go.run("A_copyq")</v>
      </c>
      <c r="E59" s="1" t="s">
        <v>114</v>
      </c>
    </row>
    <row r="60" spans="1:5" x14ac:dyDescent="0.3">
      <c r="A60" s="1" t="s">
        <v>181</v>
      </c>
      <c r="B60" s="1" t="s">
        <v>243</v>
      </c>
      <c r="C60" s="1" t="s">
        <v>197</v>
      </c>
      <c r="D60" s="9" t="str">
        <f>CONCATENATE("go.run(",quote,E60,quoteclose)</f>
        <v>go.run("A_notepad2")</v>
      </c>
      <c r="E60" s="1" t="s">
        <v>8</v>
      </c>
    </row>
    <row r="62" spans="1:5" x14ac:dyDescent="0.3">
      <c r="A62" s="1" t="s">
        <v>181</v>
      </c>
      <c r="B62" s="12" t="s">
        <v>244</v>
      </c>
      <c r="C62" s="1" t="s">
        <v>197</v>
      </c>
      <c r="D62" s="9" t="str">
        <f>CONCATENATE("go.run(",quote,E62,quoteclose)</f>
        <v>go.run("")</v>
      </c>
      <c r="E62" s="4"/>
    </row>
    <row r="63" spans="1:5" x14ac:dyDescent="0.3">
      <c r="A63" s="1" t="s">
        <v>181</v>
      </c>
      <c r="B63" s="12" t="s">
        <v>245</v>
      </c>
      <c r="C63" s="1" t="s">
        <v>197</v>
      </c>
      <c r="D63" s="9" t="str">
        <f>CONCATENATE("go.run(",quote,E63,quoteclose)</f>
        <v>go.run("")</v>
      </c>
    </row>
    <row r="64" spans="1:5" x14ac:dyDescent="0.3">
      <c r="A64" s="1" t="s">
        <v>181</v>
      </c>
      <c r="B64" s="12" t="s">
        <v>246</v>
      </c>
      <c r="C64" s="1" t="s">
        <v>197</v>
      </c>
      <c r="D64" s="9" t="str">
        <f>CONCATENATE("go.run(",quote,E64,quoteclose)</f>
        <v>go.run("D:\NT\Cloud\OneDrive\PARA\Know\zcl_util.docx")</v>
      </c>
      <c r="E64" s="1" t="s">
        <v>1402</v>
      </c>
    </row>
    <row r="66" spans="1:5" x14ac:dyDescent="0.3">
      <c r="A66" s="1" t="s">
        <v>181</v>
      </c>
      <c r="B66" s="1" t="s">
        <v>247</v>
      </c>
      <c r="C66" s="1" t="s">
        <v>197</v>
      </c>
      <c r="D66" s="9" t="str">
        <f>CONCATENATE("go.run(",quote,E66,quoteclose)</f>
        <v>go.run("A_teams")</v>
      </c>
      <c r="E66" s="4" t="s">
        <v>55</v>
      </c>
    </row>
    <row r="67" spans="1:5" x14ac:dyDescent="0.3">
      <c r="A67" s="1" t="s">
        <v>181</v>
      </c>
      <c r="B67" s="1" t="s">
        <v>249</v>
      </c>
      <c r="C67" s="1" t="s">
        <v>197</v>
      </c>
      <c r="D67" s="9" t="str">
        <f>CONCATENATE("go.run(",quote,E67,quoteclose)</f>
        <v>go.run("A_snipaste")</v>
      </c>
      <c r="E67" s="4" t="s">
        <v>112</v>
      </c>
    </row>
    <row r="69" spans="1:5" x14ac:dyDescent="0.3">
      <c r="B69" s="45" t="str">
        <f>E69</f>
        <v>Mouse.</v>
      </c>
      <c r="C69" s="45"/>
      <c r="D69" s="45"/>
      <c r="E69" s="19" t="s">
        <v>215</v>
      </c>
    </row>
    <row r="70" spans="1:5" x14ac:dyDescent="0.3">
      <c r="A70" s="1" t="s">
        <v>181</v>
      </c>
      <c r="B70" s="1" t="s">
        <v>253</v>
      </c>
      <c r="C70" s="1" t="s">
        <v>197</v>
      </c>
      <c r="D70" s="1" t="s">
        <v>1390</v>
      </c>
    </row>
    <row r="71" spans="1:5" x14ac:dyDescent="0.3">
      <c r="A71" s="1" t="s">
        <v>181</v>
      </c>
      <c r="B71" s="1" t="s">
        <v>791</v>
      </c>
      <c r="C71" s="1" t="s">
        <v>197</v>
      </c>
      <c r="D71" s="1" t="s">
        <v>837</v>
      </c>
    </row>
    <row r="72" spans="1:5" x14ac:dyDescent="0.3">
      <c r="A72" s="1" t="s">
        <v>181</v>
      </c>
      <c r="B72" s="1" t="s">
        <v>792</v>
      </c>
      <c r="C72" s="1" t="s">
        <v>197</v>
      </c>
      <c r="D72" s="1" t="s">
        <v>863</v>
      </c>
    </row>
    <row r="74" spans="1:5" x14ac:dyDescent="0.3">
      <c r="B74" s="45" t="str">
        <f>E74</f>
        <v>!*</v>
      </c>
      <c r="C74" s="45"/>
      <c r="D74" s="45"/>
      <c r="E74" s="19" t="s">
        <v>933</v>
      </c>
    </row>
    <row r="76" spans="1:5" x14ac:dyDescent="0.3">
      <c r="B76" s="45" t="str">
        <f>E76</f>
        <v>Fx</v>
      </c>
      <c r="C76" s="45"/>
      <c r="D76" s="45"/>
      <c r="E76" s="19" t="s">
        <v>233</v>
      </c>
    </row>
    <row r="77" spans="1:5" x14ac:dyDescent="0.3">
      <c r="A77" s="1" t="s">
        <v>181</v>
      </c>
      <c r="B77" s="1" t="s">
        <v>234</v>
      </c>
      <c r="C77" s="1" t="s">
        <v>197</v>
      </c>
      <c r="D77" s="9" t="str">
        <f t="shared" ref="D77:D88" si="2">CONCATENATE("go.run(",quote,E77,quoteclose)</f>
        <v>go.run("A_everything")</v>
      </c>
      <c r="E77" s="1" t="s">
        <v>100</v>
      </c>
    </row>
    <row r="78" spans="1:5" x14ac:dyDescent="0.3">
      <c r="A78" s="1" t="s">
        <v>181</v>
      </c>
      <c r="B78" s="1" t="s">
        <v>780</v>
      </c>
      <c r="C78" s="1" t="s">
        <v>197</v>
      </c>
      <c r="D78" s="9" t="str">
        <f t="shared" si="2"/>
        <v>go.run("A_ctrltab")</v>
      </c>
      <c r="E78" s="1" t="s">
        <v>104</v>
      </c>
    </row>
    <row r="79" spans="1:5" x14ac:dyDescent="0.3">
      <c r="B79" s="1" t="s">
        <v>778</v>
      </c>
      <c r="C79" s="1" t="s">
        <v>197</v>
      </c>
      <c r="D79" s="9" t="str">
        <f t="shared" si="2"/>
        <v>go.run("")</v>
      </c>
    </row>
    <row r="80" spans="1:5" x14ac:dyDescent="0.3">
      <c r="B80" s="1" t="s">
        <v>967</v>
      </c>
      <c r="C80" s="1" t="s">
        <v>197</v>
      </c>
      <c r="D80" s="9" t="str">
        <f t="shared" si="2"/>
        <v>go.run("")</v>
      </c>
    </row>
    <row r="81" spans="1:4" x14ac:dyDescent="0.3">
      <c r="B81" s="1" t="s">
        <v>968</v>
      </c>
      <c r="C81" s="1" t="s">
        <v>197</v>
      </c>
      <c r="D81" s="9" t="str">
        <f t="shared" si="2"/>
        <v>go.run("")</v>
      </c>
    </row>
    <row r="82" spans="1:4" x14ac:dyDescent="0.3">
      <c r="B82" s="1" t="s">
        <v>941</v>
      </c>
      <c r="C82" s="1" t="s">
        <v>197</v>
      </c>
      <c r="D82" s="9" t="str">
        <f t="shared" si="2"/>
        <v>go.run("")</v>
      </c>
    </row>
    <row r="83" spans="1:4" x14ac:dyDescent="0.3">
      <c r="B83" s="1" t="s">
        <v>942</v>
      </c>
      <c r="C83" s="1" t="s">
        <v>197</v>
      </c>
      <c r="D83" s="9" t="str">
        <f t="shared" si="2"/>
        <v>go.run("")</v>
      </c>
    </row>
    <row r="84" spans="1:4" x14ac:dyDescent="0.3">
      <c r="B84" s="1" t="s">
        <v>943</v>
      </c>
      <c r="C84" s="1" t="s">
        <v>197</v>
      </c>
      <c r="D84" s="9" t="str">
        <f t="shared" si="2"/>
        <v>go.run("")</v>
      </c>
    </row>
    <row r="85" spans="1:4" x14ac:dyDescent="0.3">
      <c r="B85" s="1" t="s">
        <v>944</v>
      </c>
      <c r="C85" s="1" t="s">
        <v>197</v>
      </c>
      <c r="D85" s="9" t="str">
        <f t="shared" si="2"/>
        <v>go.run("")</v>
      </c>
    </row>
    <row r="86" spans="1:4" x14ac:dyDescent="0.3">
      <c r="B86" s="1" t="s">
        <v>945</v>
      </c>
      <c r="C86" s="1" t="s">
        <v>197</v>
      </c>
      <c r="D86" s="9" t="str">
        <f t="shared" si="2"/>
        <v>go.run("")</v>
      </c>
    </row>
    <row r="87" spans="1:4" x14ac:dyDescent="0.3">
      <c r="B87" s="1" t="s">
        <v>946</v>
      </c>
      <c r="C87" s="1" t="s">
        <v>197</v>
      </c>
      <c r="D87" s="9" t="str">
        <f t="shared" si="2"/>
        <v>go.run("")</v>
      </c>
    </row>
    <row r="88" spans="1:4" x14ac:dyDescent="0.3">
      <c r="B88" s="1" t="s">
        <v>947</v>
      </c>
      <c r="C88" s="1" t="s">
        <v>197</v>
      </c>
      <c r="D88" s="9" t="str">
        <f t="shared" si="2"/>
        <v>go.run("")</v>
      </c>
    </row>
    <row r="89" spans="1:4" x14ac:dyDescent="0.3">
      <c r="B89" s="46" t="s">
        <v>860</v>
      </c>
      <c r="C89" s="46"/>
      <c r="D89" s="46"/>
    </row>
    <row r="90" spans="1:4" x14ac:dyDescent="0.3">
      <c r="B90" s="26" t="s">
        <v>861</v>
      </c>
      <c r="C90" s="25"/>
      <c r="D90" s="25"/>
    </row>
    <row r="91" spans="1:4" x14ac:dyDescent="0.3">
      <c r="A91" s="1" t="s">
        <v>181</v>
      </c>
      <c r="B91" s="1" t="s">
        <v>950</v>
      </c>
      <c r="C91" s="1" t="s">
        <v>948</v>
      </c>
      <c r="D91" s="1" t="s">
        <v>340</v>
      </c>
    </row>
    <row r="92" spans="1:4" x14ac:dyDescent="0.3">
      <c r="B92" s="1" t="s">
        <v>957</v>
      </c>
      <c r="C92" s="1" t="s">
        <v>948</v>
      </c>
      <c r="D92" s="1" t="s">
        <v>963</v>
      </c>
    </row>
    <row r="93" spans="1:4" x14ac:dyDescent="0.3">
      <c r="B93" s="1" t="s">
        <v>958</v>
      </c>
      <c r="C93" s="1" t="s">
        <v>948</v>
      </c>
      <c r="D93" s="1" t="s">
        <v>350</v>
      </c>
    </row>
    <row r="94" spans="1:4" x14ac:dyDescent="0.3">
      <c r="B94" s="1" t="s">
        <v>959</v>
      </c>
      <c r="C94" s="1" t="s">
        <v>948</v>
      </c>
      <c r="D94" s="1" t="s">
        <v>341</v>
      </c>
    </row>
    <row r="95" spans="1:4" x14ac:dyDescent="0.3">
      <c r="B95" s="1" t="s">
        <v>951</v>
      </c>
      <c r="C95" s="1" t="s">
        <v>948</v>
      </c>
      <c r="D95" s="1" t="s">
        <v>937</v>
      </c>
    </row>
    <row r="96" spans="1:4" x14ac:dyDescent="0.3">
      <c r="B96" s="1" t="s">
        <v>952</v>
      </c>
      <c r="C96" s="1" t="s">
        <v>948</v>
      </c>
      <c r="D96" s="1" t="s">
        <v>938</v>
      </c>
    </row>
    <row r="97" spans="1:5" x14ac:dyDescent="0.3">
      <c r="B97" s="1" t="s">
        <v>953</v>
      </c>
      <c r="C97" s="1" t="s">
        <v>948</v>
      </c>
      <c r="D97" s="1" t="s">
        <v>939</v>
      </c>
    </row>
    <row r="98" spans="1:5" x14ac:dyDescent="0.3">
      <c r="B98" s="1" t="s">
        <v>954</v>
      </c>
      <c r="C98" s="1" t="s">
        <v>948</v>
      </c>
      <c r="D98" s="1" t="s">
        <v>940</v>
      </c>
    </row>
    <row r="99" spans="1:5" x14ac:dyDescent="0.3">
      <c r="B99" s="1" t="s">
        <v>960</v>
      </c>
      <c r="C99" s="1" t="s">
        <v>948</v>
      </c>
      <c r="D99" s="1" t="s">
        <v>964</v>
      </c>
    </row>
    <row r="100" spans="1:5" x14ac:dyDescent="0.3">
      <c r="B100" s="1" t="s">
        <v>961</v>
      </c>
      <c r="C100" s="1" t="s">
        <v>948</v>
      </c>
      <c r="D100" s="1" t="s">
        <v>965</v>
      </c>
    </row>
    <row r="101" spans="1:5" x14ac:dyDescent="0.3">
      <c r="B101" s="1" t="s">
        <v>962</v>
      </c>
      <c r="C101" s="1" t="s">
        <v>948</v>
      </c>
      <c r="D101" s="1" t="s">
        <v>966</v>
      </c>
    </row>
    <row r="103" spans="1:5" x14ac:dyDescent="0.3">
      <c r="A103" s="1" t="s">
        <v>181</v>
      </c>
      <c r="B103" s="47" t="str">
        <f>ifwinactive_title&amp;E103</f>
        <v>#IfWinActive Automate_</v>
      </c>
      <c r="C103" s="47"/>
      <c r="D103" s="47"/>
      <c r="E103" s="19" t="s">
        <v>257</v>
      </c>
    </row>
    <row r="104" spans="1:5" x14ac:dyDescent="0.3">
      <c r="A104" s="1" t="s">
        <v>181</v>
      </c>
      <c r="B104" s="1" t="s">
        <v>258</v>
      </c>
      <c r="C104" s="1" t="s">
        <v>197</v>
      </c>
      <c r="D104" s="1" t="s">
        <v>259</v>
      </c>
    </row>
  </sheetData>
  <dataConsolidate/>
  <mergeCells count="11">
    <mergeCell ref="B103:D103"/>
    <mergeCell ref="B89:D89"/>
    <mergeCell ref="B30:D30"/>
    <mergeCell ref="B74:D74"/>
    <mergeCell ref="B2:D2"/>
    <mergeCell ref="B47:D47"/>
    <mergeCell ref="B69:D69"/>
    <mergeCell ref="B21:D21"/>
    <mergeCell ref="B76:D76"/>
    <mergeCell ref="B37:D37"/>
    <mergeCell ref="B38:D38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5">
    <tabColor rgb="FF002060"/>
  </sheetPr>
  <dimension ref="A1:E44"/>
  <sheetViews>
    <sheetView topLeftCell="A19" zoomScaleNormal="100" workbookViewId="0">
      <selection activeCell="D31" sqref="D31"/>
    </sheetView>
  </sheetViews>
  <sheetFormatPr defaultColWidth="11.44140625" defaultRowHeight="14.4" x14ac:dyDescent="0.3"/>
  <cols>
    <col min="1" max="1" width="5.44140625" style="1" bestFit="1" customWidth="1"/>
    <col min="2" max="2" width="8.44140625" style="1" bestFit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48" t="str">
        <f>ifwinactive_exe&amp;E2</f>
        <v>#IfWinActive ahk_exe Outlook.exe</v>
      </c>
      <c r="C2" s="48"/>
      <c r="D2" s="48"/>
      <c r="E2" s="19" t="s">
        <v>260</v>
      </c>
    </row>
    <row r="3" spans="1:5" x14ac:dyDescent="0.3">
      <c r="A3" s="1" t="s">
        <v>181</v>
      </c>
      <c r="B3" s="1" t="s">
        <v>277</v>
      </c>
      <c r="C3" s="1" t="s">
        <v>197</v>
      </c>
      <c r="D3" s="9" t="str">
        <f>CONCATENATE("go.run_ost(",quote,E3,quoteclose)</f>
        <v>go.run_ost("zomt_excel")</v>
      </c>
      <c r="E3" s="4" t="s">
        <v>252</v>
      </c>
    </row>
    <row r="4" spans="1:5" x14ac:dyDescent="0.3">
      <c r="A4" s="1" t="s">
        <v>181</v>
      </c>
      <c r="B4" s="1" t="s">
        <v>266</v>
      </c>
      <c r="C4" s="1" t="s">
        <v>197</v>
      </c>
      <c r="D4" s="9" t="s">
        <v>1412</v>
      </c>
      <c r="E4" s="34"/>
    </row>
    <row r="5" spans="1:5" x14ac:dyDescent="0.3">
      <c r="A5" s="1" t="s">
        <v>181</v>
      </c>
      <c r="B5" s="1" t="s">
        <v>1298</v>
      </c>
      <c r="C5" s="1" t="s">
        <v>197</v>
      </c>
      <c r="D5" s="9"/>
      <c r="E5" s="34"/>
    </row>
    <row r="6" spans="1:5" x14ac:dyDescent="0.3">
      <c r="A6" s="1" t="s">
        <v>181</v>
      </c>
      <c r="D6" s="9" t="s">
        <v>1411</v>
      </c>
      <c r="E6" s="34"/>
    </row>
    <row r="7" spans="1:5" x14ac:dyDescent="0.3">
      <c r="A7" s="1" t="s">
        <v>181</v>
      </c>
      <c r="D7" s="9" t="str">
        <f>CONCATENATE("go.run(",quote,E7,quoteclose)</f>
        <v>go.run("http://osss.omniasolution.com:8093/Planificacion/GestionarPlanificacion")</v>
      </c>
      <c r="E7" s="34" t="s">
        <v>1281</v>
      </c>
    </row>
    <row r="8" spans="1:5" x14ac:dyDescent="0.3">
      <c r="A8" s="1" t="s">
        <v>181</v>
      </c>
      <c r="D8" s="9" t="s">
        <v>227</v>
      </c>
      <c r="E8" s="34"/>
    </row>
    <row r="9" spans="1:5" x14ac:dyDescent="0.3">
      <c r="A9" s="1" t="s">
        <v>181</v>
      </c>
      <c r="B9" s="1" t="s">
        <v>1299</v>
      </c>
      <c r="C9" s="1" t="s">
        <v>197</v>
      </c>
      <c r="D9" s="9"/>
      <c r="E9" s="34"/>
    </row>
    <row r="10" spans="1:5" x14ac:dyDescent="0.3">
      <c r="A10" s="1" t="s">
        <v>181</v>
      </c>
      <c r="D10" s="9" t="s">
        <v>1411</v>
      </c>
      <c r="E10" s="34"/>
    </row>
    <row r="11" spans="1:5" x14ac:dyDescent="0.3">
      <c r="A11" s="1" t="s">
        <v>181</v>
      </c>
      <c r="D11" s="9" t="str">
        <f>CONCATENATE("go.run(",quote,E11,quoteclose)</f>
        <v>go.run("https://osss.omniasolution.com:8090/en/#/inicio/consulta-ticket")</v>
      </c>
      <c r="E11" s="34" t="s">
        <v>1300</v>
      </c>
    </row>
    <row r="12" spans="1:5" x14ac:dyDescent="0.3">
      <c r="A12" s="1" t="s">
        <v>181</v>
      </c>
      <c r="D12" s="9" t="s">
        <v>227</v>
      </c>
      <c r="E12" s="34"/>
    </row>
    <row r="13" spans="1:5" x14ac:dyDescent="0.3">
      <c r="A13" s="1" t="s">
        <v>181</v>
      </c>
      <c r="B13" s="1" t="s">
        <v>1301</v>
      </c>
      <c r="C13" s="1" t="s">
        <v>197</v>
      </c>
      <c r="D13" s="9"/>
      <c r="E13" s="34"/>
    </row>
    <row r="14" spans="1:5" x14ac:dyDescent="0.3">
      <c r="A14" s="1" t="s">
        <v>181</v>
      </c>
      <c r="D14" s="9" t="s">
        <v>1411</v>
      </c>
      <c r="E14" s="34"/>
    </row>
    <row r="15" spans="1:5" x14ac:dyDescent="0.3">
      <c r="A15" s="1" t="s">
        <v>181</v>
      </c>
      <c r="D15" s="9" t="str">
        <f>CONCATENATE("go.run(",quote,E15,quoteclose)</f>
        <v>go.run("https://osss.omniasolution.com/(S(psg4o5riybusqjv5s2lyna45))/login.aspx")</v>
      </c>
      <c r="E15" s="34" t="s">
        <v>1302</v>
      </c>
    </row>
    <row r="16" spans="1:5" x14ac:dyDescent="0.3">
      <c r="A16" s="1" t="s">
        <v>181</v>
      </c>
      <c r="D16" s="9" t="s">
        <v>227</v>
      </c>
      <c r="E16" s="34"/>
    </row>
    <row r="17" spans="1:5" x14ac:dyDescent="0.3">
      <c r="A17" s="1" t="s">
        <v>181</v>
      </c>
      <c r="B17" s="1" t="s">
        <v>196</v>
      </c>
      <c r="C17" s="1" t="s">
        <v>197</v>
      </c>
      <c r="D17" s="4" t="s">
        <v>1386</v>
      </c>
      <c r="E17" s="4" t="s">
        <v>1387</v>
      </c>
    </row>
    <row r="18" spans="1:5" x14ac:dyDescent="0.3">
      <c r="D18" s="4"/>
      <c r="E18" s="4"/>
    </row>
    <row r="19" spans="1:5" x14ac:dyDescent="0.3">
      <c r="A19" s="1" t="s">
        <v>181</v>
      </c>
      <c r="B19" s="48" t="str">
        <f>ifwinactive_exe&amp;E19</f>
        <v>#IfWinActive ahk_exe Excel.exe</v>
      </c>
      <c r="C19" s="48"/>
      <c r="D19" s="48"/>
      <c r="E19" s="19" t="s">
        <v>261</v>
      </c>
    </row>
    <row r="20" spans="1:5" x14ac:dyDescent="0.3">
      <c r="A20" s="1" t="s">
        <v>181</v>
      </c>
      <c r="B20" s="1" t="s">
        <v>262</v>
      </c>
      <c r="C20" s="1" t="s">
        <v>197</v>
      </c>
      <c r="D20" s="1" t="s">
        <v>263</v>
      </c>
    </row>
    <row r="21" spans="1:5" x14ac:dyDescent="0.3">
      <c r="A21" s="1" t="s">
        <v>181</v>
      </c>
      <c r="B21" s="1" t="s">
        <v>264</v>
      </c>
      <c r="C21" s="1" t="s">
        <v>197</v>
      </c>
      <c r="D21" s="1" t="s">
        <v>265</v>
      </c>
    </row>
    <row r="22" spans="1:5" x14ac:dyDescent="0.3">
      <c r="B22" s="1" t="s">
        <v>266</v>
      </c>
      <c r="C22" s="1" t="s">
        <v>197</v>
      </c>
      <c r="D22" s="1" t="s">
        <v>267</v>
      </c>
    </row>
    <row r="23" spans="1:5" x14ac:dyDescent="0.3">
      <c r="B23" s="1" t="s">
        <v>339</v>
      </c>
      <c r="C23" s="1" t="s">
        <v>197</v>
      </c>
      <c r="D23" s="1" t="s">
        <v>340</v>
      </c>
    </row>
    <row r="25" spans="1:5" x14ac:dyDescent="0.3">
      <c r="A25" s="1" t="s">
        <v>181</v>
      </c>
      <c r="B25" s="48" t="str">
        <f>ifwinactive_exe&amp;E25</f>
        <v>#IfWinActive ahk_exe Winword.exe</v>
      </c>
      <c r="C25" s="48"/>
      <c r="D25" s="48"/>
      <c r="E25" s="19" t="s">
        <v>268</v>
      </c>
    </row>
    <row r="26" spans="1:5" x14ac:dyDescent="0.3">
      <c r="A26" s="1" t="s">
        <v>181</v>
      </c>
      <c r="B26" s="1" t="s">
        <v>269</v>
      </c>
      <c r="C26" s="1" t="s">
        <v>197</v>
      </c>
      <c r="D26" s="1" t="s">
        <v>270</v>
      </c>
    </row>
    <row r="27" spans="1:5" x14ac:dyDescent="0.3">
      <c r="A27" s="1" t="s">
        <v>181</v>
      </c>
      <c r="B27" s="1" t="s">
        <v>271</v>
      </c>
      <c r="C27" s="1" t="s">
        <v>197</v>
      </c>
      <c r="D27" s="1" t="s">
        <v>272</v>
      </c>
    </row>
    <row r="28" spans="1:5" x14ac:dyDescent="0.3">
      <c r="A28" s="1" t="s">
        <v>181</v>
      </c>
      <c r="B28" s="1" t="s">
        <v>273</v>
      </c>
      <c r="C28" s="1" t="s">
        <v>197</v>
      </c>
      <c r="D28" s="1" t="s">
        <v>274</v>
      </c>
    </row>
    <row r="29" spans="1:5" x14ac:dyDescent="0.3">
      <c r="A29" s="1" t="s">
        <v>181</v>
      </c>
      <c r="B29" s="1" t="s">
        <v>275</v>
      </c>
      <c r="C29" s="1" t="s">
        <v>197</v>
      </c>
      <c r="D29" s="1" t="s">
        <v>276</v>
      </c>
    </row>
    <row r="30" spans="1:5" x14ac:dyDescent="0.3">
      <c r="B30" s="1" t="s">
        <v>277</v>
      </c>
      <c r="C30" s="1" t="s">
        <v>197</v>
      </c>
      <c r="D30" s="1" t="s">
        <v>276</v>
      </c>
    </row>
    <row r="31" spans="1:5" x14ac:dyDescent="0.3">
      <c r="A31" s="1" t="s">
        <v>181</v>
      </c>
      <c r="B31" s="1" t="s">
        <v>869</v>
      </c>
      <c r="C31" s="1" t="s">
        <v>197</v>
      </c>
      <c r="D31" s="1" t="s">
        <v>868</v>
      </c>
    </row>
    <row r="33" spans="1:5" x14ac:dyDescent="0.3">
      <c r="B33" s="48" t="str">
        <f>ifwinactive_title&amp;E33</f>
        <v>#IfWinActive Visual Basic for Applications -</v>
      </c>
      <c r="C33" s="48"/>
      <c r="D33" s="48"/>
      <c r="E33" s="19" t="s">
        <v>278</v>
      </c>
    </row>
    <row r="36" spans="1:5" x14ac:dyDescent="0.3">
      <c r="A36" s="1" t="s">
        <v>181</v>
      </c>
      <c r="B36" s="48" t="str">
        <f>ifwinactive_exe&amp;E36</f>
        <v>#IfWinActive ahk_exe wps.exe</v>
      </c>
      <c r="C36" s="48"/>
      <c r="D36" s="48"/>
      <c r="E36" s="19" t="s">
        <v>279</v>
      </c>
    </row>
    <row r="37" spans="1:5" x14ac:dyDescent="0.3">
      <c r="A37" s="1" t="s">
        <v>181</v>
      </c>
      <c r="B37" s="1" t="s">
        <v>280</v>
      </c>
      <c r="C37" s="1" t="s">
        <v>197</v>
      </c>
      <c r="D37" s="1" t="s">
        <v>281</v>
      </c>
    </row>
    <row r="38" spans="1:5" x14ac:dyDescent="0.3">
      <c r="A38" s="1" t="s">
        <v>181</v>
      </c>
      <c r="B38" s="1" t="s">
        <v>282</v>
      </c>
      <c r="C38" s="1" t="s">
        <v>197</v>
      </c>
      <c r="D38" s="1" t="s">
        <v>283</v>
      </c>
    </row>
    <row r="40" spans="1:5" x14ac:dyDescent="0.3">
      <c r="B40" s="48" t="str">
        <f>ifwinactive_exe&amp;E40</f>
        <v>#IfWinActive ahk_exe onenote.exe</v>
      </c>
      <c r="C40" s="48"/>
      <c r="D40" s="48"/>
      <c r="E40" s="19" t="s">
        <v>789</v>
      </c>
    </row>
    <row r="41" spans="1:5" x14ac:dyDescent="0.3">
      <c r="B41" s="1" t="s">
        <v>277</v>
      </c>
      <c r="C41" s="1" t="s">
        <v>197</v>
      </c>
      <c r="D41" s="1" t="s">
        <v>790</v>
      </c>
    </row>
    <row r="43" spans="1:5" x14ac:dyDescent="0.3">
      <c r="B43" s="48" t="str">
        <f>ifwinactive_exe&amp;E43</f>
        <v>#IfWinActive ahk_exe Typing_Assistant64.exe</v>
      </c>
      <c r="C43" s="48"/>
      <c r="D43" s="48"/>
      <c r="E43" s="19" t="s">
        <v>883</v>
      </c>
    </row>
    <row r="44" spans="1:5" x14ac:dyDescent="0.3">
      <c r="B44" s="1" t="s">
        <v>878</v>
      </c>
      <c r="C44" s="1" t="s">
        <v>197</v>
      </c>
      <c r="D44" s="1" t="s">
        <v>879</v>
      </c>
    </row>
  </sheetData>
  <dataConsolidate/>
  <mergeCells count="7">
    <mergeCell ref="B43:D43"/>
    <mergeCell ref="B40:D40"/>
    <mergeCell ref="B36:D36"/>
    <mergeCell ref="B2:D2"/>
    <mergeCell ref="B19:D19"/>
    <mergeCell ref="B25:D25"/>
    <mergeCell ref="B33:D33"/>
  </mergeCells>
  <hyperlinks>
    <hyperlink ref="E11" r:id="rId1" location="/inicio/consulta-ticket" xr:uid="{7100716F-E08C-42E0-A471-7049F3208FD0}"/>
  </hyperlinks>
  <pageMargins left="0.7" right="0.7" top="0.75" bottom="0.75" header="0.3" footer="0.3"/>
  <pageSetup paperSize="9" orientation="portrait" horizontalDpi="200" verticalDpi="2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4">
    <tabColor rgb="FF00B050"/>
  </sheetPr>
  <dimension ref="A1:E41"/>
  <sheetViews>
    <sheetView topLeftCell="A19" zoomScaleNormal="100" workbookViewId="0">
      <selection activeCell="D41" sqref="D41"/>
    </sheetView>
  </sheetViews>
  <sheetFormatPr defaultColWidth="11.44140625" defaultRowHeight="14.4" x14ac:dyDescent="0.3"/>
  <cols>
    <col min="1" max="1" width="5.44140625" style="1" bestFit="1" customWidth="1"/>
    <col min="2" max="2" width="8.44140625" style="1" bestFit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49" t="str">
        <f>ifwinactive_exe&amp;E2</f>
        <v>#IfWinActive ahk_exe Bcompare.exe</v>
      </c>
      <c r="C2" s="49"/>
      <c r="D2" s="49"/>
      <c r="E2" s="19" t="s">
        <v>284</v>
      </c>
    </row>
    <row r="3" spans="1:5" x14ac:dyDescent="0.3">
      <c r="A3" s="1" t="s">
        <v>181</v>
      </c>
      <c r="B3" s="1" t="s">
        <v>285</v>
      </c>
      <c r="C3" s="1" t="s">
        <v>197</v>
      </c>
      <c r="D3" s="1" t="s">
        <v>286</v>
      </c>
    </row>
    <row r="4" spans="1:5" x14ac:dyDescent="0.3">
      <c r="A4" s="1" t="s">
        <v>181</v>
      </c>
      <c r="B4" s="1" t="s">
        <v>277</v>
      </c>
      <c r="C4" s="1" t="s">
        <v>197</v>
      </c>
      <c r="D4" s="1" t="s">
        <v>287</v>
      </c>
    </row>
    <row r="5" spans="1:5" x14ac:dyDescent="0.3">
      <c r="D5"/>
    </row>
    <row r="6" spans="1:5" x14ac:dyDescent="0.3">
      <c r="A6" s="1" t="s">
        <v>181</v>
      </c>
      <c r="B6" s="50" t="str">
        <f>ifwinactive_title&amp;E6</f>
        <v>#IfWinActive .ahk</v>
      </c>
      <c r="C6" s="50"/>
      <c r="D6" s="50"/>
      <c r="E6" s="19" t="s">
        <v>1416</v>
      </c>
    </row>
    <row r="7" spans="1:5" x14ac:dyDescent="0.3">
      <c r="A7" s="1" t="s">
        <v>181</v>
      </c>
      <c r="B7" s="1" t="s">
        <v>1415</v>
      </c>
      <c r="C7" s="1" t="s">
        <v>197</v>
      </c>
      <c r="D7" s="1" t="s">
        <v>1420</v>
      </c>
    </row>
    <row r="8" spans="1:5" x14ac:dyDescent="0.3">
      <c r="D8"/>
    </row>
    <row r="9" spans="1:5" x14ac:dyDescent="0.3">
      <c r="A9" s="1" t="s">
        <v>181</v>
      </c>
      <c r="B9" s="50" t="str">
        <f>ifwinactive_exe&amp;E9</f>
        <v>#IfWinActive ahk_exe Code.exe</v>
      </c>
      <c r="C9" s="50"/>
      <c r="D9" s="50"/>
      <c r="E9" s="19" t="s">
        <v>295</v>
      </c>
    </row>
    <row r="10" spans="1:5" x14ac:dyDescent="0.3">
      <c r="A10" s="1" t="s">
        <v>181</v>
      </c>
      <c r="B10" s="1" t="s">
        <v>277</v>
      </c>
      <c r="C10" s="1" t="s">
        <v>197</v>
      </c>
      <c r="D10" s="1" t="s">
        <v>296</v>
      </c>
    </row>
    <row r="11" spans="1:5" x14ac:dyDescent="0.3">
      <c r="A11" s="1" t="s">
        <v>181</v>
      </c>
      <c r="B11" s="13" t="s">
        <v>630</v>
      </c>
      <c r="C11" s="1" t="s">
        <v>197</v>
      </c>
      <c r="D11" s="1" t="s">
        <v>300</v>
      </c>
    </row>
    <row r="12" spans="1:5" x14ac:dyDescent="0.3">
      <c r="A12" s="11"/>
      <c r="B12" s="13" t="s">
        <v>297</v>
      </c>
      <c r="C12" s="1" t="s">
        <v>197</v>
      </c>
      <c r="D12" s="1" t="s">
        <v>298</v>
      </c>
    </row>
    <row r="14" spans="1:5" x14ac:dyDescent="0.3">
      <c r="A14" s="1" t="s">
        <v>181</v>
      </c>
      <c r="B14" s="50" t="str">
        <f>ifwinactive_exe&amp;E14</f>
        <v>#IfWinActive ahk_exe sublime_text.exe</v>
      </c>
      <c r="C14" s="50"/>
      <c r="D14" s="50"/>
      <c r="E14" s="19" t="s">
        <v>1285</v>
      </c>
    </row>
    <row r="15" spans="1:5" x14ac:dyDescent="0.3">
      <c r="A15" s="1" t="s">
        <v>181</v>
      </c>
      <c r="B15" s="1" t="s">
        <v>277</v>
      </c>
      <c r="C15" s="1" t="s">
        <v>197</v>
      </c>
      <c r="D15" s="1" t="s">
        <v>1286</v>
      </c>
    </row>
    <row r="16" spans="1:5" x14ac:dyDescent="0.3">
      <c r="A16" s="1" t="s">
        <v>181</v>
      </c>
      <c r="B16" s="13" t="s">
        <v>630</v>
      </c>
      <c r="C16" s="1" t="s">
        <v>197</v>
      </c>
      <c r="D16" s="1" t="s">
        <v>1287</v>
      </c>
    </row>
    <row r="17" spans="1:5" x14ac:dyDescent="0.3">
      <c r="A17" s="11" t="s">
        <v>181</v>
      </c>
      <c r="B17" s="13" t="s">
        <v>297</v>
      </c>
      <c r="C17" s="1" t="s">
        <v>197</v>
      </c>
      <c r="D17" s="1" t="s">
        <v>298</v>
      </c>
    </row>
    <row r="18" spans="1:5" x14ac:dyDescent="0.3">
      <c r="A18" s="1" t="s">
        <v>181</v>
      </c>
      <c r="B18" s="1" t="s">
        <v>293</v>
      </c>
      <c r="C18" s="1" t="s">
        <v>197</v>
      </c>
      <c r="D18" s="1" t="s">
        <v>1296</v>
      </c>
    </row>
    <row r="21" spans="1:5" x14ac:dyDescent="0.3">
      <c r="B21" s="50" t="str">
        <f>ifwinactive_exe&amp;E21</f>
        <v>#IfWinActive ahk_exe Notepad++.exe</v>
      </c>
      <c r="C21" s="50"/>
      <c r="D21" s="50"/>
      <c r="E21" s="19" t="s">
        <v>301</v>
      </c>
    </row>
    <row r="22" spans="1:5" x14ac:dyDescent="0.3">
      <c r="B22" s="1" t="s">
        <v>264</v>
      </c>
      <c r="C22" s="1" t="s">
        <v>197</v>
      </c>
      <c r="D22" s="1" t="s">
        <v>265</v>
      </c>
    </row>
    <row r="23" spans="1:5" x14ac:dyDescent="0.3">
      <c r="B23" s="1" t="s">
        <v>262</v>
      </c>
      <c r="C23" s="1" t="s">
        <v>197</v>
      </c>
      <c r="D23" s="1" t="s">
        <v>263</v>
      </c>
    </row>
    <row r="25" spans="1:5" x14ac:dyDescent="0.3">
      <c r="A25" s="1" t="s">
        <v>181</v>
      </c>
      <c r="B25" s="50" t="str">
        <f>ifwinactive_exe&amp;E25</f>
        <v>#IfWinActive ahk_exe Eclipse.exe</v>
      </c>
      <c r="C25" s="50"/>
      <c r="D25" s="50"/>
      <c r="E25" s="19" t="s">
        <v>302</v>
      </c>
    </row>
    <row r="26" spans="1:5" x14ac:dyDescent="0.3">
      <c r="B26" s="1" t="s">
        <v>780</v>
      </c>
      <c r="C26" s="1" t="s">
        <v>197</v>
      </c>
      <c r="D26" s="1" t="s">
        <v>307</v>
      </c>
    </row>
    <row r="27" spans="1:5" x14ac:dyDescent="0.3">
      <c r="B27" s="1" t="s">
        <v>778</v>
      </c>
      <c r="C27" s="1" t="s">
        <v>197</v>
      </c>
      <c r="D27" s="1" t="s">
        <v>777</v>
      </c>
    </row>
    <row r="28" spans="1:5" x14ac:dyDescent="0.3">
      <c r="B28" s="1" t="s">
        <v>779</v>
      </c>
      <c r="C28" s="1" t="s">
        <v>197</v>
      </c>
      <c r="D28" s="1" t="s">
        <v>776</v>
      </c>
    </row>
    <row r="29" spans="1:5" x14ac:dyDescent="0.3">
      <c r="A29" s="1" t="s">
        <v>181</v>
      </c>
      <c r="B29" s="1" t="s">
        <v>277</v>
      </c>
      <c r="C29" s="1" t="s">
        <v>197</v>
      </c>
    </row>
    <row r="30" spans="1:5" x14ac:dyDescent="0.3">
      <c r="A30" s="1" t="s">
        <v>181</v>
      </c>
      <c r="D30" s="1" t="s">
        <v>303</v>
      </c>
    </row>
    <row r="31" spans="1:5" x14ac:dyDescent="0.3">
      <c r="A31" s="1" t="s">
        <v>181</v>
      </c>
      <c r="D31" s="1" t="s">
        <v>294</v>
      </c>
    </row>
    <row r="32" spans="1:5" x14ac:dyDescent="0.3">
      <c r="A32" s="1" t="s">
        <v>181</v>
      </c>
      <c r="D32" s="1" t="s">
        <v>304</v>
      </c>
    </row>
    <row r="33" spans="1:4" x14ac:dyDescent="0.3">
      <c r="A33" s="1" t="s">
        <v>181</v>
      </c>
      <c r="D33" s="1" t="s">
        <v>227</v>
      </c>
    </row>
    <row r="34" spans="1:4" x14ac:dyDescent="0.3">
      <c r="B34" s="1" t="s">
        <v>297</v>
      </c>
      <c r="C34" s="1" t="s">
        <v>197</v>
      </c>
      <c r="D34" s="1" t="s">
        <v>306</v>
      </c>
    </row>
    <row r="35" spans="1:4" x14ac:dyDescent="0.3">
      <c r="B35" s="1" t="s">
        <v>299</v>
      </c>
      <c r="C35" s="1" t="s">
        <v>197</v>
      </c>
      <c r="D35" s="1" t="s">
        <v>305</v>
      </c>
    </row>
    <row r="36" spans="1:4" x14ac:dyDescent="0.3">
      <c r="B36" s="1" t="s">
        <v>774</v>
      </c>
      <c r="C36" s="1" t="s">
        <v>197</v>
      </c>
      <c r="D36" s="1" t="s">
        <v>773</v>
      </c>
    </row>
    <row r="37" spans="1:4" x14ac:dyDescent="0.3">
      <c r="B37" s="1" t="s">
        <v>775</v>
      </c>
      <c r="C37" s="1" t="s">
        <v>197</v>
      </c>
      <c r="D37" s="1" t="s">
        <v>773</v>
      </c>
    </row>
    <row r="39" spans="1:4" x14ac:dyDescent="0.3">
      <c r="A39" s="1" t="s">
        <v>181</v>
      </c>
      <c r="B39" s="1" t="s">
        <v>885</v>
      </c>
      <c r="C39" s="1" t="s">
        <v>197</v>
      </c>
      <c r="D39" s="1" t="s">
        <v>263</v>
      </c>
    </row>
    <row r="40" spans="1:4" x14ac:dyDescent="0.3">
      <c r="A40" s="1" t="s">
        <v>181</v>
      </c>
      <c r="B40" s="1" t="s">
        <v>628</v>
      </c>
      <c r="C40" s="1" t="s">
        <v>197</v>
      </c>
      <c r="D40" s="1" t="s">
        <v>265</v>
      </c>
    </row>
    <row r="41" spans="1:4" x14ac:dyDescent="0.3">
      <c r="A41" s="1" t="s">
        <v>181</v>
      </c>
      <c r="B41" s="1" t="s">
        <v>1410</v>
      </c>
      <c r="C41" s="1" t="s">
        <v>197</v>
      </c>
      <c r="D41" s="1" t="s">
        <v>1401</v>
      </c>
    </row>
  </sheetData>
  <dataConsolidate/>
  <mergeCells count="6">
    <mergeCell ref="B2:D2"/>
    <mergeCell ref="B9:D9"/>
    <mergeCell ref="B21:D21"/>
    <mergeCell ref="B25:D25"/>
    <mergeCell ref="B14:D14"/>
    <mergeCell ref="B6:D6"/>
  </mergeCells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6">
    <tabColor rgb="FF002060"/>
  </sheetPr>
  <dimension ref="A1:E166"/>
  <sheetViews>
    <sheetView topLeftCell="A109" zoomScaleNormal="100" workbookViewId="0">
      <selection activeCell="D130" sqref="D130"/>
    </sheetView>
  </sheetViews>
  <sheetFormatPr defaultColWidth="11.44140625" defaultRowHeight="14.4" x14ac:dyDescent="0.3"/>
  <cols>
    <col min="1" max="1" width="5.44140625" style="1" bestFit="1" customWidth="1"/>
    <col min="2" max="2" width="11.664062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B2" s="4"/>
      <c r="D2" s="4"/>
    </row>
    <row r="3" spans="1:5" x14ac:dyDescent="0.3">
      <c r="A3" s="1" t="s">
        <v>181</v>
      </c>
      <c r="B3" s="47" t="str">
        <f>ifwinactive_class&amp;E3</f>
        <v>#IfWinActive ahk_class EVERYTHING</v>
      </c>
      <c r="C3" s="47"/>
      <c r="D3" s="47"/>
      <c r="E3" s="6" t="s">
        <v>1374</v>
      </c>
    </row>
    <row r="4" spans="1:5" x14ac:dyDescent="0.3">
      <c r="A4" s="1" t="s">
        <v>181</v>
      </c>
      <c r="B4" s="1" t="s">
        <v>1317</v>
      </c>
      <c r="C4" s="1" t="s">
        <v>197</v>
      </c>
      <c r="D4" s="9" t="str">
        <f t="shared" ref="D4" si="0">CONCATENATE("go.run(",quote,E4,quoteclose)</f>
        <v>go.run("A_everything_code")</v>
      </c>
      <c r="E4" s="1" t="s">
        <v>1284</v>
      </c>
    </row>
    <row r="6" spans="1:5" x14ac:dyDescent="0.3">
      <c r="A6" s="1" t="s">
        <v>181</v>
      </c>
      <c r="B6" s="47" t="str">
        <f>ifwinactive_group&amp;E6</f>
        <v>#IfWinActive ahk_group gr_launcher</v>
      </c>
      <c r="C6" s="47"/>
      <c r="D6" s="47"/>
      <c r="E6" s="1" t="s">
        <v>922</v>
      </c>
    </row>
    <row r="7" spans="1:5" x14ac:dyDescent="0.3">
      <c r="A7" s="1" t="s">
        <v>181</v>
      </c>
      <c r="B7" s="1" t="s">
        <v>293</v>
      </c>
      <c r="C7" s="1" t="s">
        <v>197</v>
      </c>
      <c r="D7" s="1" t="s">
        <v>1296</v>
      </c>
    </row>
    <row r="8" spans="1:5" x14ac:dyDescent="0.3">
      <c r="B8" s="13" t="s">
        <v>1293</v>
      </c>
      <c r="C8" s="1" t="s">
        <v>197</v>
      </c>
      <c r="D8" s="1" t="s">
        <v>1295</v>
      </c>
    </row>
    <row r="9" spans="1:5" x14ac:dyDescent="0.3">
      <c r="A9" s="1" t="s">
        <v>181</v>
      </c>
      <c r="B9" s="1" t="s">
        <v>864</v>
      </c>
      <c r="C9" s="1" t="s">
        <v>197</v>
      </c>
      <c r="D9" s="1" t="s">
        <v>1297</v>
      </c>
    </row>
    <row r="11" spans="1:5" x14ac:dyDescent="0.3">
      <c r="B11" s="30"/>
      <c r="C11" s="30" t="s">
        <v>880</v>
      </c>
      <c r="D11" s="30"/>
    </row>
    <row r="12" spans="1:5" s="4" customFormat="1" x14ac:dyDescent="0.3">
      <c r="A12" s="4" t="s">
        <v>181</v>
      </c>
      <c r="B12" s="4" t="s">
        <v>423</v>
      </c>
      <c r="C12" s="4" t="s">
        <v>197</v>
      </c>
      <c r="E12" s="4" t="s">
        <v>424</v>
      </c>
    </row>
    <row r="13" spans="1:5" s="4" customFormat="1" x14ac:dyDescent="0.3">
      <c r="A13" s="4" t="s">
        <v>181</v>
      </c>
      <c r="B13" s="4" t="s">
        <v>425</v>
      </c>
      <c r="C13" s="4" t="s">
        <v>197</v>
      </c>
      <c r="E13" s="4" t="s">
        <v>426</v>
      </c>
    </row>
    <row r="14" spans="1:5" s="4" customFormat="1" x14ac:dyDescent="0.3">
      <c r="A14" s="4" t="s">
        <v>181</v>
      </c>
      <c r="B14" s="4" t="s">
        <v>427</v>
      </c>
      <c r="C14" s="4" t="s">
        <v>197</v>
      </c>
      <c r="E14" s="4" t="s">
        <v>428</v>
      </c>
    </row>
    <row r="15" spans="1:5" s="4" customFormat="1" x14ac:dyDescent="0.3">
      <c r="A15" s="4" t="s">
        <v>181</v>
      </c>
      <c r="B15" s="4" t="s">
        <v>429</v>
      </c>
      <c r="C15" s="4" t="s">
        <v>197</v>
      </c>
      <c r="E15" s="4" t="s">
        <v>430</v>
      </c>
    </row>
    <row r="16" spans="1:5" s="4" customFormat="1" x14ac:dyDescent="0.3">
      <c r="A16" s="4" t="s">
        <v>181</v>
      </c>
      <c r="B16" s="4" t="s">
        <v>431</v>
      </c>
      <c r="C16" s="4" t="s">
        <v>197</v>
      </c>
      <c r="E16" s="4" t="s">
        <v>432</v>
      </c>
    </row>
    <row r="17" spans="1:5" s="4" customFormat="1" x14ac:dyDescent="0.3">
      <c r="A17" s="4" t="s">
        <v>181</v>
      </c>
      <c r="B17" s="4" t="s">
        <v>433</v>
      </c>
      <c r="C17" s="4" t="s">
        <v>197</v>
      </c>
      <c r="E17" s="4" t="s">
        <v>434</v>
      </c>
    </row>
    <row r="18" spans="1:5" s="4" customFormat="1" x14ac:dyDescent="0.3">
      <c r="A18" s="4" t="s">
        <v>181</v>
      </c>
      <c r="B18" s="4" t="s">
        <v>435</v>
      </c>
      <c r="C18" s="4" t="s">
        <v>197</v>
      </c>
      <c r="E18" s="4" t="s">
        <v>436</v>
      </c>
    </row>
    <row r="19" spans="1:5" s="4" customFormat="1" x14ac:dyDescent="0.3">
      <c r="A19" s="4" t="s">
        <v>181</v>
      </c>
      <c r="B19" s="4" t="s">
        <v>437</v>
      </c>
      <c r="C19" s="4" t="s">
        <v>197</v>
      </c>
      <c r="E19" s="4" t="s">
        <v>438</v>
      </c>
    </row>
    <row r="20" spans="1:5" s="4" customFormat="1" x14ac:dyDescent="0.3">
      <c r="A20" s="4" t="s">
        <v>181</v>
      </c>
      <c r="B20" s="4" t="s">
        <v>439</v>
      </c>
      <c r="C20" s="4" t="s">
        <v>197</v>
      </c>
      <c r="E20" s="4" t="s">
        <v>440</v>
      </c>
    </row>
    <row r="21" spans="1:5" s="4" customFormat="1" x14ac:dyDescent="0.3">
      <c r="A21" s="4" t="s">
        <v>181</v>
      </c>
      <c r="B21" s="4" t="s">
        <v>441</v>
      </c>
      <c r="C21" s="4" t="s">
        <v>197</v>
      </c>
      <c r="E21" s="4" t="s">
        <v>442</v>
      </c>
    </row>
    <row r="22" spans="1:5" s="4" customFormat="1" x14ac:dyDescent="0.3">
      <c r="A22" s="4" t="s">
        <v>181</v>
      </c>
      <c r="B22" s="4" t="s">
        <v>443</v>
      </c>
      <c r="C22" s="4" t="s">
        <v>197</v>
      </c>
      <c r="E22" s="4" t="s">
        <v>444</v>
      </c>
    </row>
    <row r="23" spans="1:5" s="4" customFormat="1" x14ac:dyDescent="0.3">
      <c r="A23" s="4" t="s">
        <v>181</v>
      </c>
      <c r="B23" s="4" t="s">
        <v>445</v>
      </c>
      <c r="C23" s="4" t="s">
        <v>197</v>
      </c>
      <c r="E23" s="4" t="s">
        <v>446</v>
      </c>
    </row>
    <row r="24" spans="1:5" s="4" customFormat="1" x14ac:dyDescent="0.3">
      <c r="A24" s="4" t="s">
        <v>181</v>
      </c>
      <c r="B24" s="4" t="s">
        <v>447</v>
      </c>
      <c r="C24" s="4" t="s">
        <v>197</v>
      </c>
      <c r="E24" s="4" t="s">
        <v>448</v>
      </c>
    </row>
    <row r="25" spans="1:5" s="4" customFormat="1" x14ac:dyDescent="0.3">
      <c r="A25" s="4" t="s">
        <v>181</v>
      </c>
      <c r="B25" s="4" t="s">
        <v>449</v>
      </c>
      <c r="C25" s="4" t="s">
        <v>197</v>
      </c>
      <c r="E25" s="4" t="s">
        <v>450</v>
      </c>
    </row>
    <row r="26" spans="1:5" s="4" customFormat="1" x14ac:dyDescent="0.3">
      <c r="A26" s="4" t="s">
        <v>181</v>
      </c>
      <c r="B26" s="4" t="s">
        <v>848</v>
      </c>
      <c r="C26" s="4" t="s">
        <v>197</v>
      </c>
      <c r="E26" s="4" t="s">
        <v>850</v>
      </c>
    </row>
    <row r="27" spans="1:5" s="4" customFormat="1" x14ac:dyDescent="0.3">
      <c r="A27" s="4" t="s">
        <v>181</v>
      </c>
      <c r="B27" s="4" t="s">
        <v>849</v>
      </c>
      <c r="C27" s="4" t="s">
        <v>197</v>
      </c>
      <c r="E27" s="4" t="s">
        <v>851</v>
      </c>
    </row>
    <row r="28" spans="1:5" s="4" customFormat="1" x14ac:dyDescent="0.3">
      <c r="A28" s="4" t="s">
        <v>181</v>
      </c>
      <c r="B28" s="4" t="s">
        <v>451</v>
      </c>
      <c r="C28" s="4" t="s">
        <v>197</v>
      </c>
      <c r="E28" s="4" t="s">
        <v>452</v>
      </c>
    </row>
    <row r="29" spans="1:5" s="4" customFormat="1" x14ac:dyDescent="0.3">
      <c r="A29" s="4" t="s">
        <v>181</v>
      </c>
      <c r="B29" s="4" t="s">
        <v>453</v>
      </c>
      <c r="C29" s="4" t="s">
        <v>197</v>
      </c>
      <c r="E29" s="4" t="s">
        <v>454</v>
      </c>
    </row>
    <row r="30" spans="1:5" s="4" customFormat="1" x14ac:dyDescent="0.3">
      <c r="A30" s="4" t="s">
        <v>181</v>
      </c>
      <c r="B30" s="4" t="s">
        <v>455</v>
      </c>
      <c r="C30" s="4" t="s">
        <v>197</v>
      </c>
      <c r="E30" s="4" t="s">
        <v>456</v>
      </c>
    </row>
    <row r="31" spans="1:5" s="4" customFormat="1" x14ac:dyDescent="0.3">
      <c r="A31" s="4" t="s">
        <v>181</v>
      </c>
      <c r="B31" s="4" t="s">
        <v>457</v>
      </c>
      <c r="C31" s="4" t="s">
        <v>197</v>
      </c>
      <c r="E31" s="4" t="s">
        <v>458</v>
      </c>
    </row>
    <row r="32" spans="1:5" s="4" customFormat="1" x14ac:dyDescent="0.3">
      <c r="A32" s="4" t="s">
        <v>181</v>
      </c>
      <c r="B32" s="4" t="s">
        <v>459</v>
      </c>
      <c r="C32" s="4" t="s">
        <v>197</v>
      </c>
      <c r="E32" s="4" t="s">
        <v>460</v>
      </c>
    </row>
    <row r="33" spans="1:5" s="4" customFormat="1" x14ac:dyDescent="0.3">
      <c r="A33" s="4" t="s">
        <v>181</v>
      </c>
      <c r="B33" s="4" t="s">
        <v>461</v>
      </c>
      <c r="C33" s="4" t="s">
        <v>197</v>
      </c>
      <c r="E33" s="4" t="s">
        <v>462</v>
      </c>
    </row>
    <row r="34" spans="1:5" s="4" customFormat="1" x14ac:dyDescent="0.3">
      <c r="A34" s="4" t="s">
        <v>181</v>
      </c>
      <c r="B34" s="4" t="s">
        <v>463</v>
      </c>
      <c r="C34" s="4" t="s">
        <v>197</v>
      </c>
      <c r="E34" s="4" t="s">
        <v>464</v>
      </c>
    </row>
    <row r="35" spans="1:5" s="4" customFormat="1" x14ac:dyDescent="0.3">
      <c r="A35" s="4" t="s">
        <v>181</v>
      </c>
      <c r="B35" s="4" t="s">
        <v>465</v>
      </c>
      <c r="C35" s="4" t="s">
        <v>197</v>
      </c>
      <c r="E35" s="4" t="s">
        <v>466</v>
      </c>
    </row>
    <row r="36" spans="1:5" s="4" customFormat="1" x14ac:dyDescent="0.3">
      <c r="A36" s="4" t="s">
        <v>181</v>
      </c>
      <c r="B36" s="4" t="s">
        <v>467</v>
      </c>
      <c r="C36" s="4" t="s">
        <v>197</v>
      </c>
      <c r="E36" s="4" t="s">
        <v>468</v>
      </c>
    </row>
    <row r="37" spans="1:5" s="4" customFormat="1" x14ac:dyDescent="0.3">
      <c r="A37" s="4" t="s">
        <v>181</v>
      </c>
      <c r="B37" s="4" t="s">
        <v>469</v>
      </c>
      <c r="C37" s="4" t="s">
        <v>197</v>
      </c>
      <c r="E37" s="4" t="s">
        <v>470</v>
      </c>
    </row>
    <row r="38" spans="1:5" s="4" customFormat="1" x14ac:dyDescent="0.3">
      <c r="A38" s="4" t="s">
        <v>181</v>
      </c>
      <c r="B38" s="4" t="s">
        <v>471</v>
      </c>
      <c r="C38" s="4" t="s">
        <v>197</v>
      </c>
      <c r="E38" s="4" t="s">
        <v>472</v>
      </c>
    </row>
    <row r="39" spans="1:5" s="4" customFormat="1" x14ac:dyDescent="0.3">
      <c r="A39" s="4" t="s">
        <v>181</v>
      </c>
      <c r="B39" s="4" t="s">
        <v>473</v>
      </c>
      <c r="C39" s="4" t="s">
        <v>197</v>
      </c>
      <c r="E39" s="4" t="s">
        <v>474</v>
      </c>
    </row>
    <row r="40" spans="1:5" s="4" customFormat="1" x14ac:dyDescent="0.3">
      <c r="A40" s="4" t="s">
        <v>181</v>
      </c>
      <c r="B40" s="4" t="s">
        <v>475</v>
      </c>
      <c r="C40" s="4" t="s">
        <v>197</v>
      </c>
      <c r="E40" s="4" t="s">
        <v>476</v>
      </c>
    </row>
    <row r="41" spans="1:5" s="4" customFormat="1" x14ac:dyDescent="0.3">
      <c r="A41" s="4" t="s">
        <v>181</v>
      </c>
      <c r="B41" s="4" t="s">
        <v>477</v>
      </c>
      <c r="C41" s="4" t="s">
        <v>197</v>
      </c>
      <c r="E41" s="4" t="s">
        <v>478</v>
      </c>
    </row>
    <row r="42" spans="1:5" s="4" customFormat="1" x14ac:dyDescent="0.3">
      <c r="A42" s="4" t="s">
        <v>181</v>
      </c>
      <c r="B42" s="4" t="s">
        <v>479</v>
      </c>
      <c r="C42" s="4" t="s">
        <v>197</v>
      </c>
      <c r="E42" s="4" t="s">
        <v>480</v>
      </c>
    </row>
    <row r="43" spans="1:5" s="4" customFormat="1" x14ac:dyDescent="0.3">
      <c r="A43" s="4" t="s">
        <v>181</v>
      </c>
      <c r="B43" s="4" t="s">
        <v>481</v>
      </c>
      <c r="C43" s="4" t="s">
        <v>197</v>
      </c>
      <c r="E43" s="4" t="s">
        <v>482</v>
      </c>
    </row>
    <row r="44" spans="1:5" s="4" customFormat="1" x14ac:dyDescent="0.3">
      <c r="A44" s="4" t="s">
        <v>181</v>
      </c>
      <c r="B44" s="4" t="s">
        <v>483</v>
      </c>
      <c r="C44" s="4" t="s">
        <v>197</v>
      </c>
      <c r="E44" s="4" t="s">
        <v>484</v>
      </c>
    </row>
    <row r="45" spans="1:5" s="4" customFormat="1" x14ac:dyDescent="0.3">
      <c r="A45" s="4" t="s">
        <v>181</v>
      </c>
      <c r="B45" s="4" t="s">
        <v>485</v>
      </c>
      <c r="C45" s="4" t="s">
        <v>197</v>
      </c>
      <c r="E45" s="4" t="s">
        <v>486</v>
      </c>
    </row>
    <row r="46" spans="1:5" s="4" customFormat="1" x14ac:dyDescent="0.3">
      <c r="A46" s="4" t="s">
        <v>181</v>
      </c>
      <c r="B46" s="4" t="s">
        <v>487</v>
      </c>
      <c r="C46" s="4" t="s">
        <v>197</v>
      </c>
      <c r="E46" s="4" t="s">
        <v>488</v>
      </c>
    </row>
    <row r="47" spans="1:5" s="4" customFormat="1" x14ac:dyDescent="0.3">
      <c r="A47" s="4" t="s">
        <v>181</v>
      </c>
      <c r="B47" s="4" t="s">
        <v>489</v>
      </c>
      <c r="C47" s="4" t="s">
        <v>197</v>
      </c>
      <c r="E47" s="4" t="s">
        <v>490</v>
      </c>
    </row>
    <row r="48" spans="1:5" s="4" customFormat="1" x14ac:dyDescent="0.3">
      <c r="A48" s="4" t="s">
        <v>181</v>
      </c>
      <c r="B48" s="4" t="s">
        <v>491</v>
      </c>
      <c r="C48" s="4" t="s">
        <v>197</v>
      </c>
      <c r="E48" s="4" t="s">
        <v>492</v>
      </c>
    </row>
    <row r="49" spans="1:5" s="4" customFormat="1" x14ac:dyDescent="0.3">
      <c r="A49" s="4" t="s">
        <v>181</v>
      </c>
      <c r="B49" s="4" t="s">
        <v>493</v>
      </c>
      <c r="C49" s="4" t="s">
        <v>197</v>
      </c>
      <c r="E49" s="4" t="s">
        <v>494</v>
      </c>
    </row>
    <row r="50" spans="1:5" s="4" customFormat="1" x14ac:dyDescent="0.3">
      <c r="A50" s="4" t="s">
        <v>181</v>
      </c>
      <c r="B50" s="4" t="s">
        <v>495</v>
      </c>
      <c r="C50" s="4" t="s">
        <v>197</v>
      </c>
      <c r="E50" s="4" t="s">
        <v>496</v>
      </c>
    </row>
    <row r="51" spans="1:5" s="4" customFormat="1" x14ac:dyDescent="0.3">
      <c r="A51" s="4" t="s">
        <v>181</v>
      </c>
      <c r="B51" s="4" t="s">
        <v>497</v>
      </c>
      <c r="C51" s="4" t="s">
        <v>197</v>
      </c>
      <c r="E51" s="4" t="s">
        <v>498</v>
      </c>
    </row>
    <row r="52" spans="1:5" s="4" customFormat="1" x14ac:dyDescent="0.3">
      <c r="A52" s="4" t="s">
        <v>181</v>
      </c>
      <c r="B52" s="4" t="s">
        <v>499</v>
      </c>
      <c r="C52" s="4" t="s">
        <v>197</v>
      </c>
      <c r="E52" s="4" t="s">
        <v>500</v>
      </c>
    </row>
    <row r="53" spans="1:5" s="4" customFormat="1" x14ac:dyDescent="0.3">
      <c r="A53" s="4" t="s">
        <v>181</v>
      </c>
      <c r="B53" s="4" t="s">
        <v>501</v>
      </c>
      <c r="C53" s="4" t="s">
        <v>197</v>
      </c>
      <c r="E53" s="4" t="s">
        <v>502</v>
      </c>
    </row>
    <row r="54" spans="1:5" s="4" customFormat="1" x14ac:dyDescent="0.3">
      <c r="A54" s="4" t="s">
        <v>181</v>
      </c>
      <c r="B54" s="4" t="s">
        <v>503</v>
      </c>
      <c r="C54" s="4" t="s">
        <v>197</v>
      </c>
      <c r="E54" s="4" t="s">
        <v>504</v>
      </c>
    </row>
    <row r="55" spans="1:5" s="4" customFormat="1" x14ac:dyDescent="0.3">
      <c r="A55" s="4" t="s">
        <v>181</v>
      </c>
      <c r="B55" s="4" t="s">
        <v>505</v>
      </c>
      <c r="C55" s="4" t="s">
        <v>197</v>
      </c>
      <c r="E55" s="4" t="s">
        <v>506</v>
      </c>
    </row>
    <row r="56" spans="1:5" s="4" customFormat="1" x14ac:dyDescent="0.3">
      <c r="A56" s="4" t="s">
        <v>181</v>
      </c>
      <c r="B56" s="4" t="s">
        <v>507</v>
      </c>
      <c r="C56" s="4" t="s">
        <v>197</v>
      </c>
      <c r="E56" s="4" t="s">
        <v>508</v>
      </c>
    </row>
    <row r="57" spans="1:5" s="4" customFormat="1" x14ac:dyDescent="0.3">
      <c r="A57" s="4" t="s">
        <v>181</v>
      </c>
      <c r="B57" s="4" t="s">
        <v>509</v>
      </c>
      <c r="C57" s="4" t="s">
        <v>197</v>
      </c>
      <c r="E57" s="4" t="s">
        <v>510</v>
      </c>
    </row>
    <row r="58" spans="1:5" s="4" customFormat="1" x14ac:dyDescent="0.3">
      <c r="A58" s="4" t="s">
        <v>181</v>
      </c>
      <c r="B58" s="4" t="s">
        <v>511</v>
      </c>
      <c r="C58" s="4" t="s">
        <v>197</v>
      </c>
      <c r="E58" s="4" t="s">
        <v>512</v>
      </c>
    </row>
    <row r="59" spans="1:5" s="4" customFormat="1" x14ac:dyDescent="0.3">
      <c r="A59" s="4" t="s">
        <v>181</v>
      </c>
      <c r="B59" s="4" t="s">
        <v>513</v>
      </c>
      <c r="C59" s="4" t="s">
        <v>197</v>
      </c>
      <c r="E59" s="4" t="s">
        <v>514</v>
      </c>
    </row>
    <row r="60" spans="1:5" s="4" customFormat="1" x14ac:dyDescent="0.3">
      <c r="A60" s="4" t="s">
        <v>181</v>
      </c>
      <c r="B60" s="4" t="s">
        <v>515</v>
      </c>
      <c r="C60" s="4" t="s">
        <v>197</v>
      </c>
      <c r="E60" s="4" t="s">
        <v>516</v>
      </c>
    </row>
    <row r="61" spans="1:5" s="4" customFormat="1" x14ac:dyDescent="0.3">
      <c r="A61" s="4" t="s">
        <v>181</v>
      </c>
      <c r="B61" s="4" t="s">
        <v>517</v>
      </c>
      <c r="C61" s="4" t="s">
        <v>197</v>
      </c>
      <c r="E61" s="4" t="s">
        <v>518</v>
      </c>
    </row>
    <row r="62" spans="1:5" s="4" customFormat="1" x14ac:dyDescent="0.3">
      <c r="A62" s="4" t="s">
        <v>181</v>
      </c>
      <c r="B62" s="4" t="s">
        <v>519</v>
      </c>
      <c r="C62" s="4" t="s">
        <v>197</v>
      </c>
      <c r="E62" s="4" t="s">
        <v>520</v>
      </c>
    </row>
    <row r="63" spans="1:5" s="4" customFormat="1" x14ac:dyDescent="0.3">
      <c r="A63" s="4" t="s">
        <v>181</v>
      </c>
      <c r="B63" s="4" t="s">
        <v>521</v>
      </c>
      <c r="C63" s="4" t="s">
        <v>197</v>
      </c>
      <c r="E63" s="4" t="s">
        <v>522</v>
      </c>
    </row>
    <row r="64" spans="1:5" s="4" customFormat="1" x14ac:dyDescent="0.3">
      <c r="A64" s="4" t="s">
        <v>181</v>
      </c>
      <c r="B64" s="4" t="s">
        <v>523</v>
      </c>
      <c r="C64" s="4" t="s">
        <v>197</v>
      </c>
      <c r="E64" s="4" t="s">
        <v>524</v>
      </c>
    </row>
    <row r="65" spans="1:5" s="4" customFormat="1" x14ac:dyDescent="0.3">
      <c r="A65" s="4" t="s">
        <v>181</v>
      </c>
      <c r="B65" s="4" t="s">
        <v>525</v>
      </c>
      <c r="C65" s="4" t="s">
        <v>197</v>
      </c>
      <c r="E65" s="4" t="s">
        <v>526</v>
      </c>
    </row>
    <row r="66" spans="1:5" s="4" customFormat="1" x14ac:dyDescent="0.3">
      <c r="A66" s="4" t="s">
        <v>181</v>
      </c>
      <c r="B66" s="4" t="s">
        <v>527</v>
      </c>
      <c r="C66" s="4" t="s">
        <v>197</v>
      </c>
      <c r="E66" s="4" t="s">
        <v>528</v>
      </c>
    </row>
    <row r="67" spans="1:5" s="4" customFormat="1" x14ac:dyDescent="0.3">
      <c r="A67" s="4" t="s">
        <v>181</v>
      </c>
      <c r="B67" s="4" t="s">
        <v>529</v>
      </c>
      <c r="C67" s="4" t="s">
        <v>197</v>
      </c>
      <c r="E67" s="4" t="s">
        <v>530</v>
      </c>
    </row>
    <row r="68" spans="1:5" s="4" customFormat="1" x14ac:dyDescent="0.3">
      <c r="A68" s="4" t="s">
        <v>181</v>
      </c>
      <c r="B68" s="4" t="s">
        <v>531</v>
      </c>
      <c r="C68" s="4" t="s">
        <v>197</v>
      </c>
      <c r="E68" s="4" t="s">
        <v>532</v>
      </c>
    </row>
    <row r="69" spans="1:5" s="4" customFormat="1" x14ac:dyDescent="0.3">
      <c r="A69" s="4" t="s">
        <v>181</v>
      </c>
      <c r="B69" s="4" t="s">
        <v>533</v>
      </c>
      <c r="C69" s="4" t="s">
        <v>197</v>
      </c>
      <c r="E69" s="4" t="s">
        <v>534</v>
      </c>
    </row>
    <row r="70" spans="1:5" s="4" customFormat="1" x14ac:dyDescent="0.3">
      <c r="A70" s="4" t="s">
        <v>181</v>
      </c>
      <c r="B70" s="4" t="s">
        <v>535</v>
      </c>
      <c r="C70" s="4" t="s">
        <v>197</v>
      </c>
      <c r="E70" s="4" t="s">
        <v>536</v>
      </c>
    </row>
    <row r="71" spans="1:5" s="4" customFormat="1" x14ac:dyDescent="0.3">
      <c r="A71" s="4" t="s">
        <v>181</v>
      </c>
      <c r="B71" s="4" t="s">
        <v>537</v>
      </c>
      <c r="C71" s="4" t="s">
        <v>197</v>
      </c>
      <c r="E71" s="4" t="s">
        <v>538</v>
      </c>
    </row>
    <row r="72" spans="1:5" s="4" customFormat="1" x14ac:dyDescent="0.3">
      <c r="A72" s="4" t="s">
        <v>181</v>
      </c>
      <c r="B72" s="4" t="s">
        <v>539</v>
      </c>
      <c r="C72" s="4" t="s">
        <v>197</v>
      </c>
      <c r="E72" s="4" t="s">
        <v>540</v>
      </c>
    </row>
    <row r="73" spans="1:5" s="4" customFormat="1" x14ac:dyDescent="0.3">
      <c r="A73" s="4" t="s">
        <v>181</v>
      </c>
      <c r="B73" s="4" t="s">
        <v>541</v>
      </c>
      <c r="C73" s="4" t="s">
        <v>197</v>
      </c>
      <c r="E73" s="4" t="s">
        <v>542</v>
      </c>
    </row>
    <row r="74" spans="1:5" s="4" customFormat="1" x14ac:dyDescent="0.3">
      <c r="A74" s="4" t="s">
        <v>181</v>
      </c>
      <c r="B74" s="4" t="s">
        <v>543</v>
      </c>
      <c r="C74" s="4" t="s">
        <v>197</v>
      </c>
      <c r="E74" s="4" t="s">
        <v>544</v>
      </c>
    </row>
    <row r="75" spans="1:5" s="4" customFormat="1" x14ac:dyDescent="0.3">
      <c r="A75" s="4" t="s">
        <v>181</v>
      </c>
      <c r="B75" s="4" t="s">
        <v>545</v>
      </c>
      <c r="C75" s="4" t="s">
        <v>197</v>
      </c>
      <c r="E75" s="4" t="s">
        <v>546</v>
      </c>
    </row>
    <row r="76" spans="1:5" s="4" customFormat="1" x14ac:dyDescent="0.3">
      <c r="A76" s="4" t="s">
        <v>181</v>
      </c>
      <c r="B76" s="4" t="s">
        <v>547</v>
      </c>
      <c r="C76" s="4" t="s">
        <v>197</v>
      </c>
      <c r="E76" s="4" t="s">
        <v>548</v>
      </c>
    </row>
    <row r="77" spans="1:5" s="4" customFormat="1" x14ac:dyDescent="0.3">
      <c r="A77" s="4" t="s">
        <v>181</v>
      </c>
      <c r="B77" s="4" t="s">
        <v>549</v>
      </c>
      <c r="C77" s="4" t="s">
        <v>197</v>
      </c>
      <c r="E77" s="4" t="s">
        <v>550</v>
      </c>
    </row>
    <row r="78" spans="1:5" s="4" customFormat="1" x14ac:dyDescent="0.3">
      <c r="A78" s="4" t="s">
        <v>181</v>
      </c>
      <c r="B78" s="4" t="s">
        <v>551</v>
      </c>
      <c r="C78" s="4" t="s">
        <v>197</v>
      </c>
      <c r="E78" s="4" t="s">
        <v>552</v>
      </c>
    </row>
    <row r="79" spans="1:5" s="4" customFormat="1" x14ac:dyDescent="0.3">
      <c r="A79" s="4" t="s">
        <v>181</v>
      </c>
      <c r="B79" s="4" t="s">
        <v>553</v>
      </c>
      <c r="C79" s="4" t="s">
        <v>197</v>
      </c>
      <c r="E79" s="4" t="s">
        <v>554</v>
      </c>
    </row>
    <row r="80" spans="1:5" s="4" customFormat="1" x14ac:dyDescent="0.3">
      <c r="A80" s="4" t="s">
        <v>181</v>
      </c>
      <c r="B80" s="4" t="s">
        <v>555</v>
      </c>
      <c r="C80" s="4" t="s">
        <v>197</v>
      </c>
      <c r="E80" s="4" t="s">
        <v>556</v>
      </c>
    </row>
    <row r="81" spans="1:5" s="4" customFormat="1" x14ac:dyDescent="0.3">
      <c r="A81" s="4" t="s">
        <v>181</v>
      </c>
      <c r="B81" s="4" t="s">
        <v>557</v>
      </c>
      <c r="C81" s="4" t="s">
        <v>197</v>
      </c>
      <c r="E81" s="4" t="s">
        <v>558</v>
      </c>
    </row>
    <row r="82" spans="1:5" s="4" customFormat="1" x14ac:dyDescent="0.3">
      <c r="A82" s="4" t="s">
        <v>181</v>
      </c>
      <c r="B82" s="4" t="s">
        <v>559</v>
      </c>
      <c r="C82" s="4" t="s">
        <v>197</v>
      </c>
      <c r="E82" s="4" t="s">
        <v>560</v>
      </c>
    </row>
    <row r="83" spans="1:5" s="4" customFormat="1" x14ac:dyDescent="0.3">
      <c r="A83" s="4" t="s">
        <v>181</v>
      </c>
      <c r="B83" s="4" t="s">
        <v>561</v>
      </c>
      <c r="C83" s="4" t="s">
        <v>197</v>
      </c>
      <c r="E83" s="4" t="s">
        <v>562</v>
      </c>
    </row>
    <row r="84" spans="1:5" s="4" customFormat="1" x14ac:dyDescent="0.3">
      <c r="A84" s="4" t="s">
        <v>181</v>
      </c>
      <c r="B84" s="4" t="s">
        <v>563</v>
      </c>
      <c r="C84" s="4" t="s">
        <v>197</v>
      </c>
      <c r="E84" s="4" t="s">
        <v>564</v>
      </c>
    </row>
    <row r="85" spans="1:5" s="4" customFormat="1" x14ac:dyDescent="0.3">
      <c r="A85" s="4" t="s">
        <v>181</v>
      </c>
      <c r="B85" s="4" t="s">
        <v>565</v>
      </c>
      <c r="C85" s="4" t="s">
        <v>197</v>
      </c>
      <c r="E85" s="4" t="s">
        <v>566</v>
      </c>
    </row>
    <row r="86" spans="1:5" s="4" customFormat="1" x14ac:dyDescent="0.3">
      <c r="A86" s="4" t="s">
        <v>181</v>
      </c>
      <c r="B86" s="4" t="s">
        <v>567</v>
      </c>
      <c r="C86" s="4" t="s">
        <v>197</v>
      </c>
      <c r="E86" s="4" t="s">
        <v>568</v>
      </c>
    </row>
    <row r="87" spans="1:5" s="4" customFormat="1" x14ac:dyDescent="0.3">
      <c r="A87" s="4" t="s">
        <v>181</v>
      </c>
      <c r="B87" s="4" t="s">
        <v>569</v>
      </c>
      <c r="C87" s="4" t="s">
        <v>197</v>
      </c>
      <c r="E87" s="4" t="s">
        <v>570</v>
      </c>
    </row>
    <row r="88" spans="1:5" s="4" customFormat="1" x14ac:dyDescent="0.3">
      <c r="A88" s="4" t="s">
        <v>181</v>
      </c>
      <c r="B88" s="4" t="s">
        <v>571</v>
      </c>
      <c r="C88" s="4" t="s">
        <v>197</v>
      </c>
      <c r="E88" s="4" t="s">
        <v>572</v>
      </c>
    </row>
    <row r="89" spans="1:5" s="4" customFormat="1" x14ac:dyDescent="0.3">
      <c r="A89" s="4" t="s">
        <v>181</v>
      </c>
      <c r="B89" s="4" t="s">
        <v>573</v>
      </c>
      <c r="C89" s="4" t="s">
        <v>197</v>
      </c>
      <c r="E89" s="4" t="s">
        <v>574</v>
      </c>
    </row>
    <row r="90" spans="1:5" s="4" customFormat="1" x14ac:dyDescent="0.3">
      <c r="A90" s="4" t="s">
        <v>181</v>
      </c>
      <c r="B90" s="4" t="s">
        <v>575</v>
      </c>
      <c r="C90" s="4" t="s">
        <v>197</v>
      </c>
      <c r="E90" s="4" t="s">
        <v>576</v>
      </c>
    </row>
    <row r="91" spans="1:5" s="4" customFormat="1" x14ac:dyDescent="0.3">
      <c r="A91" s="4" t="s">
        <v>181</v>
      </c>
      <c r="B91" s="4" t="s">
        <v>577</v>
      </c>
      <c r="C91" s="4" t="s">
        <v>197</v>
      </c>
      <c r="E91" s="4" t="s">
        <v>578</v>
      </c>
    </row>
    <row r="92" spans="1:5" s="4" customFormat="1" x14ac:dyDescent="0.3">
      <c r="A92" s="4" t="s">
        <v>181</v>
      </c>
      <c r="B92" s="4" t="s">
        <v>579</v>
      </c>
      <c r="C92" s="4" t="s">
        <v>197</v>
      </c>
      <c r="E92" s="4" t="s">
        <v>580</v>
      </c>
    </row>
    <row r="93" spans="1:5" s="4" customFormat="1" x14ac:dyDescent="0.3">
      <c r="A93" s="4" t="s">
        <v>181</v>
      </c>
      <c r="B93" s="4" t="s">
        <v>581</v>
      </c>
      <c r="C93" s="4" t="s">
        <v>197</v>
      </c>
      <c r="E93" s="4" t="s">
        <v>582</v>
      </c>
    </row>
    <row r="94" spans="1:5" s="4" customFormat="1" x14ac:dyDescent="0.3">
      <c r="A94" s="4" t="s">
        <v>181</v>
      </c>
      <c r="B94" s="4" t="s">
        <v>583</v>
      </c>
      <c r="C94" s="4" t="s">
        <v>197</v>
      </c>
      <c r="E94" s="4" t="s">
        <v>584</v>
      </c>
    </row>
    <row r="95" spans="1:5" s="4" customFormat="1" x14ac:dyDescent="0.3">
      <c r="A95" s="4" t="s">
        <v>181</v>
      </c>
      <c r="B95" s="4" t="s">
        <v>585</v>
      </c>
      <c r="C95" s="4" t="s">
        <v>197</v>
      </c>
      <c r="E95" s="4" t="s">
        <v>586</v>
      </c>
    </row>
    <row r="96" spans="1:5" s="4" customFormat="1" x14ac:dyDescent="0.3">
      <c r="A96" s="4" t="s">
        <v>181</v>
      </c>
      <c r="B96" s="4" t="s">
        <v>587</v>
      </c>
      <c r="C96" s="4" t="s">
        <v>197</v>
      </c>
      <c r="E96" s="4" t="s">
        <v>588</v>
      </c>
    </row>
    <row r="97" spans="1:5" s="4" customFormat="1" x14ac:dyDescent="0.3">
      <c r="A97" s="4" t="s">
        <v>181</v>
      </c>
      <c r="B97" s="4" t="s">
        <v>589</v>
      </c>
      <c r="C97" s="4" t="s">
        <v>197</v>
      </c>
      <c r="E97" s="4" t="s">
        <v>590</v>
      </c>
    </row>
    <row r="98" spans="1:5" s="4" customFormat="1" x14ac:dyDescent="0.3">
      <c r="A98" s="4" t="s">
        <v>181</v>
      </c>
      <c r="B98" s="4" t="s">
        <v>591</v>
      </c>
      <c r="C98" s="4" t="s">
        <v>197</v>
      </c>
      <c r="E98" s="4" t="s">
        <v>592</v>
      </c>
    </row>
    <row r="99" spans="1:5" s="4" customFormat="1" x14ac:dyDescent="0.3">
      <c r="A99" s="4" t="s">
        <v>181</v>
      </c>
      <c r="B99" s="4" t="s">
        <v>593</v>
      </c>
      <c r="C99" s="4" t="s">
        <v>197</v>
      </c>
      <c r="E99" s="4" t="s">
        <v>594</v>
      </c>
    </row>
    <row r="100" spans="1:5" s="4" customFormat="1" x14ac:dyDescent="0.3">
      <c r="A100" s="4" t="s">
        <v>181</v>
      </c>
      <c r="B100" s="4" t="s">
        <v>595</v>
      </c>
      <c r="C100" s="4" t="s">
        <v>197</v>
      </c>
      <c r="E100" s="4" t="s">
        <v>596</v>
      </c>
    </row>
    <row r="101" spans="1:5" s="4" customFormat="1" x14ac:dyDescent="0.3">
      <c r="A101" s="4" t="s">
        <v>181</v>
      </c>
      <c r="B101" s="4" t="s">
        <v>597</v>
      </c>
      <c r="C101" s="4" t="s">
        <v>197</v>
      </c>
      <c r="E101" s="4" t="s">
        <v>598</v>
      </c>
    </row>
    <row r="102" spans="1:5" s="4" customFormat="1" x14ac:dyDescent="0.3">
      <c r="A102" s="4" t="s">
        <v>181</v>
      </c>
      <c r="B102" s="4" t="s">
        <v>599</v>
      </c>
      <c r="C102" s="4" t="s">
        <v>197</v>
      </c>
      <c r="E102" s="4" t="s">
        <v>600</v>
      </c>
    </row>
    <row r="103" spans="1:5" s="4" customFormat="1" x14ac:dyDescent="0.3">
      <c r="A103" s="4" t="s">
        <v>181</v>
      </c>
      <c r="B103" s="4" t="s">
        <v>601</v>
      </c>
      <c r="C103" s="4" t="s">
        <v>197</v>
      </c>
      <c r="E103" s="4" t="s">
        <v>602</v>
      </c>
    </row>
    <row r="104" spans="1:5" s="4" customFormat="1" x14ac:dyDescent="0.3">
      <c r="A104" s="4" t="s">
        <v>181</v>
      </c>
      <c r="B104" s="4" t="s">
        <v>603</v>
      </c>
      <c r="C104" s="4" t="s">
        <v>197</v>
      </c>
      <c r="E104" s="4" t="s">
        <v>604</v>
      </c>
    </row>
    <row r="105" spans="1:5" s="4" customFormat="1" x14ac:dyDescent="0.3">
      <c r="A105" s="4" t="s">
        <v>181</v>
      </c>
      <c r="B105" s="4" t="s">
        <v>605</v>
      </c>
      <c r="C105" s="4" t="s">
        <v>197</v>
      </c>
      <c r="E105" s="4" t="s">
        <v>606</v>
      </c>
    </row>
    <row r="106" spans="1:5" s="4" customFormat="1" x14ac:dyDescent="0.3">
      <c r="A106" s="4" t="s">
        <v>181</v>
      </c>
      <c r="B106" s="4" t="s">
        <v>607</v>
      </c>
      <c r="C106" s="4" t="s">
        <v>197</v>
      </c>
      <c r="E106" s="4" t="s">
        <v>608</v>
      </c>
    </row>
    <row r="107" spans="1:5" s="4" customFormat="1" x14ac:dyDescent="0.3">
      <c r="A107" s="4" t="s">
        <v>181</v>
      </c>
      <c r="B107" s="4" t="s">
        <v>609</v>
      </c>
      <c r="C107" s="4" t="s">
        <v>197</v>
      </c>
      <c r="E107" s="4" t="s">
        <v>610</v>
      </c>
    </row>
    <row r="108" spans="1:5" s="4" customFormat="1" x14ac:dyDescent="0.3">
      <c r="A108" s="4" t="s">
        <v>181</v>
      </c>
      <c r="B108" s="4" t="s">
        <v>611</v>
      </c>
      <c r="C108" s="4" t="s">
        <v>197</v>
      </c>
      <c r="E108" s="4" t="s">
        <v>612</v>
      </c>
    </row>
    <row r="109" spans="1:5" s="4" customFormat="1" x14ac:dyDescent="0.3">
      <c r="A109" s="4" t="s">
        <v>181</v>
      </c>
      <c r="B109" s="4" t="s">
        <v>613</v>
      </c>
      <c r="C109" s="4" t="s">
        <v>197</v>
      </c>
      <c r="E109" s="4" t="s">
        <v>614</v>
      </c>
    </row>
    <row r="110" spans="1:5" s="4" customFormat="1" x14ac:dyDescent="0.3">
      <c r="A110" s="4" t="s">
        <v>181</v>
      </c>
      <c r="D110" s="4" t="s">
        <v>615</v>
      </c>
    </row>
    <row r="112" spans="1:5" x14ac:dyDescent="0.3">
      <c r="A112" s="33"/>
      <c r="B112" s="33" t="s">
        <v>1009</v>
      </c>
      <c r="C112" s="33" t="s">
        <v>197</v>
      </c>
      <c r="D112" s="33"/>
      <c r="E112" s="33" t="s">
        <v>1010</v>
      </c>
    </row>
    <row r="113" spans="1:5" x14ac:dyDescent="0.3">
      <c r="A113" s="33"/>
      <c r="B113" s="33" t="s">
        <v>1005</v>
      </c>
      <c r="C113" s="33" t="s">
        <v>197</v>
      </c>
      <c r="D113" s="33"/>
      <c r="E113" s="33" t="s">
        <v>1011</v>
      </c>
    </row>
    <row r="114" spans="1:5" x14ac:dyDescent="0.3">
      <c r="A114" s="33"/>
      <c r="B114" s="33" t="s">
        <v>1012</v>
      </c>
      <c r="C114" s="33" t="s">
        <v>197</v>
      </c>
      <c r="D114" s="33"/>
      <c r="E114" s="33" t="s">
        <v>1013</v>
      </c>
    </row>
    <row r="115" spans="1:5" x14ac:dyDescent="0.3">
      <c r="A115" s="33"/>
      <c r="B115" s="33" t="s">
        <v>1014</v>
      </c>
      <c r="C115" s="33" t="s">
        <v>197</v>
      </c>
      <c r="D115" s="33"/>
      <c r="E115" s="33" t="s">
        <v>1015</v>
      </c>
    </row>
    <row r="116" spans="1:5" x14ac:dyDescent="0.3">
      <c r="A116" s="33"/>
      <c r="B116" s="33" t="s">
        <v>1016</v>
      </c>
      <c r="C116" s="33" t="s">
        <v>197</v>
      </c>
      <c r="D116" s="33"/>
      <c r="E116" s="33" t="s">
        <v>1068</v>
      </c>
    </row>
    <row r="117" spans="1:5" x14ac:dyDescent="0.3">
      <c r="A117" s="33"/>
      <c r="B117" s="33" t="s">
        <v>1017</v>
      </c>
      <c r="C117" s="33" t="s">
        <v>197</v>
      </c>
      <c r="D117" s="33"/>
      <c r="E117" s="33" t="s">
        <v>1018</v>
      </c>
    </row>
    <row r="118" spans="1:5" x14ac:dyDescent="0.3">
      <c r="A118" s="33"/>
      <c r="B118" s="33" t="s">
        <v>1019</v>
      </c>
      <c r="C118" s="33" t="s">
        <v>197</v>
      </c>
      <c r="D118" s="33"/>
      <c r="E118" s="33" t="s">
        <v>1020</v>
      </c>
    </row>
    <row r="119" spans="1:5" x14ac:dyDescent="0.3">
      <c r="A119" s="33"/>
      <c r="B119" s="33" t="s">
        <v>912</v>
      </c>
      <c r="C119" s="33" t="s">
        <v>197</v>
      </c>
      <c r="D119" s="33"/>
      <c r="E119" s="33" t="s">
        <v>1021</v>
      </c>
    </row>
    <row r="120" spans="1:5" x14ac:dyDescent="0.3">
      <c r="A120" s="33"/>
      <c r="B120" s="33" t="s">
        <v>1022</v>
      </c>
      <c r="C120" s="33" t="s">
        <v>197</v>
      </c>
      <c r="D120" s="33"/>
      <c r="E120" s="33" t="s">
        <v>1023</v>
      </c>
    </row>
    <row r="121" spans="1:5" x14ac:dyDescent="0.3">
      <c r="A121" s="33"/>
      <c r="B121" s="33" t="s">
        <v>1024</v>
      </c>
      <c r="C121" s="33" t="s">
        <v>197</v>
      </c>
      <c r="D121" s="33"/>
      <c r="E121" s="33" t="s">
        <v>1025</v>
      </c>
    </row>
    <row r="122" spans="1:5" x14ac:dyDescent="0.3">
      <c r="A122" s="33"/>
      <c r="B122" s="33" t="s">
        <v>1006</v>
      </c>
      <c r="C122" s="33" t="s">
        <v>197</v>
      </c>
      <c r="D122" s="33"/>
      <c r="E122" s="33" t="s">
        <v>1026</v>
      </c>
    </row>
    <row r="123" spans="1:5" x14ac:dyDescent="0.3">
      <c r="A123" s="33"/>
      <c r="B123" s="33" t="s">
        <v>1027</v>
      </c>
      <c r="C123" s="33" t="s">
        <v>197</v>
      </c>
      <c r="D123" s="33"/>
      <c r="E123" s="33" t="s">
        <v>1028</v>
      </c>
    </row>
    <row r="124" spans="1:5" x14ac:dyDescent="0.3">
      <c r="A124" s="33"/>
      <c r="B124" s="33" t="s">
        <v>1029</v>
      </c>
      <c r="C124" s="33" t="s">
        <v>197</v>
      </c>
      <c r="D124" s="33"/>
      <c r="E124" s="33" t="s">
        <v>1030</v>
      </c>
    </row>
    <row r="125" spans="1:5" x14ac:dyDescent="0.3">
      <c r="A125" s="33"/>
      <c r="B125" s="33" t="s">
        <v>1007</v>
      </c>
      <c r="C125" s="33" t="s">
        <v>197</v>
      </c>
      <c r="D125" s="33"/>
      <c r="E125" s="33" t="s">
        <v>1031</v>
      </c>
    </row>
    <row r="126" spans="1:5" x14ac:dyDescent="0.3">
      <c r="A126" s="33"/>
      <c r="B126" s="33" t="s">
        <v>1032</v>
      </c>
      <c r="C126" s="33" t="s">
        <v>197</v>
      </c>
      <c r="D126" s="33"/>
      <c r="E126" s="33" t="s">
        <v>1033</v>
      </c>
    </row>
    <row r="127" spans="1:5" x14ac:dyDescent="0.3">
      <c r="A127" s="33"/>
      <c r="B127" s="33" t="s">
        <v>1034</v>
      </c>
      <c r="C127" s="33" t="s">
        <v>197</v>
      </c>
      <c r="D127" s="33"/>
      <c r="E127" s="33" t="s">
        <v>1035</v>
      </c>
    </row>
    <row r="128" spans="1:5" x14ac:dyDescent="0.3">
      <c r="A128" s="33"/>
      <c r="B128" s="33" t="s">
        <v>1036</v>
      </c>
      <c r="C128" s="33" t="s">
        <v>197</v>
      </c>
      <c r="D128" s="33"/>
      <c r="E128" s="33" t="s">
        <v>1037</v>
      </c>
    </row>
    <row r="129" spans="1:5" x14ac:dyDescent="0.3">
      <c r="A129" s="33"/>
      <c r="B129" s="33" t="s">
        <v>1038</v>
      </c>
      <c r="C129" s="33" t="s">
        <v>197</v>
      </c>
      <c r="D129" s="33"/>
      <c r="E129" s="33" t="s">
        <v>1039</v>
      </c>
    </row>
    <row r="130" spans="1:5" x14ac:dyDescent="0.3">
      <c r="A130" s="33"/>
      <c r="B130" s="33" t="s">
        <v>1040</v>
      </c>
      <c r="C130" s="33" t="s">
        <v>197</v>
      </c>
      <c r="D130" s="33"/>
      <c r="E130" s="33" t="s">
        <v>1041</v>
      </c>
    </row>
    <row r="131" spans="1:5" x14ac:dyDescent="0.3">
      <c r="A131" s="33"/>
      <c r="B131" s="33" t="s">
        <v>1042</v>
      </c>
      <c r="C131" s="33" t="s">
        <v>197</v>
      </c>
      <c r="D131" s="33"/>
      <c r="E131" s="33" t="s">
        <v>1043</v>
      </c>
    </row>
    <row r="132" spans="1:5" x14ac:dyDescent="0.3">
      <c r="A132" s="33"/>
      <c r="B132" s="33" t="s">
        <v>1044</v>
      </c>
      <c r="C132" s="33" t="s">
        <v>197</v>
      </c>
      <c r="D132" s="33"/>
      <c r="E132" s="33" t="s">
        <v>1045</v>
      </c>
    </row>
    <row r="133" spans="1:5" x14ac:dyDescent="0.3">
      <c r="A133" s="33"/>
      <c r="B133" s="33" t="s">
        <v>1046</v>
      </c>
      <c r="C133" s="33" t="s">
        <v>197</v>
      </c>
      <c r="D133" s="33"/>
      <c r="E133" s="33" t="s">
        <v>1047</v>
      </c>
    </row>
    <row r="134" spans="1:5" x14ac:dyDescent="0.3">
      <c r="A134" s="33"/>
      <c r="B134" s="33" t="s">
        <v>1048</v>
      </c>
      <c r="C134" s="33" t="s">
        <v>197</v>
      </c>
      <c r="D134" s="33"/>
      <c r="E134" s="33" t="s">
        <v>1049</v>
      </c>
    </row>
    <row r="135" spans="1:5" x14ac:dyDescent="0.3">
      <c r="A135" s="33"/>
      <c r="B135" s="33" t="s">
        <v>1050</v>
      </c>
      <c r="C135" s="33" t="s">
        <v>197</v>
      </c>
      <c r="D135" s="33"/>
      <c r="E135" s="33" t="s">
        <v>1051</v>
      </c>
    </row>
    <row r="136" spans="1:5" x14ac:dyDescent="0.3">
      <c r="A136" s="33"/>
      <c r="B136" s="33" t="s">
        <v>1052</v>
      </c>
      <c r="C136" s="33" t="s">
        <v>197</v>
      </c>
      <c r="D136" s="33"/>
      <c r="E136" s="33" t="s">
        <v>1053</v>
      </c>
    </row>
    <row r="137" spans="1:5" x14ac:dyDescent="0.3">
      <c r="A137" s="33"/>
      <c r="B137" s="33" t="s">
        <v>1054</v>
      </c>
      <c r="C137" s="33" t="s">
        <v>197</v>
      </c>
      <c r="D137" s="33"/>
      <c r="E137" s="33" t="s">
        <v>1055</v>
      </c>
    </row>
    <row r="138" spans="1:5" x14ac:dyDescent="0.3">
      <c r="A138" s="33"/>
      <c r="B138" s="33" t="s">
        <v>1056</v>
      </c>
      <c r="C138" s="33" t="s">
        <v>197</v>
      </c>
      <c r="D138" s="33"/>
      <c r="E138" s="33" t="s">
        <v>1057</v>
      </c>
    </row>
    <row r="139" spans="1:5" x14ac:dyDescent="0.3">
      <c r="A139" s="33"/>
      <c r="B139" s="33" t="s">
        <v>1058</v>
      </c>
      <c r="C139" s="33" t="s">
        <v>197</v>
      </c>
      <c r="D139" s="33"/>
      <c r="E139" s="33" t="s">
        <v>1059</v>
      </c>
    </row>
    <row r="140" spans="1:5" x14ac:dyDescent="0.3">
      <c r="A140" s="33"/>
      <c r="B140" s="33" t="s">
        <v>1060</v>
      </c>
      <c r="C140" s="33" t="s">
        <v>197</v>
      </c>
      <c r="D140" s="33"/>
      <c r="E140" s="33" t="s">
        <v>1061</v>
      </c>
    </row>
    <row r="141" spans="1:5" x14ac:dyDescent="0.3">
      <c r="A141" s="33"/>
      <c r="B141" s="33" t="s">
        <v>1008</v>
      </c>
      <c r="C141" s="33" t="s">
        <v>197</v>
      </c>
      <c r="D141" s="33"/>
      <c r="E141" s="33" t="s">
        <v>1062</v>
      </c>
    </row>
    <row r="142" spans="1:5" x14ac:dyDescent="0.3">
      <c r="A142" s="33"/>
      <c r="B142" s="33" t="s">
        <v>1063</v>
      </c>
      <c r="C142" s="33" t="s">
        <v>197</v>
      </c>
      <c r="D142" s="33"/>
      <c r="E142" s="33" t="s">
        <v>1064</v>
      </c>
    </row>
    <row r="143" spans="1:5" x14ac:dyDescent="0.3">
      <c r="A143" s="33"/>
      <c r="B143" s="33" t="s">
        <v>1065</v>
      </c>
      <c r="C143" s="33" t="s">
        <v>197</v>
      </c>
      <c r="D143" s="33"/>
      <c r="E143" s="33" t="s">
        <v>1066</v>
      </c>
    </row>
    <row r="144" spans="1:5" x14ac:dyDescent="0.3">
      <c r="A144" s="4"/>
      <c r="B144" s="4"/>
      <c r="C144" s="4"/>
      <c r="D144" s="4" t="s">
        <v>1094</v>
      </c>
      <c r="E144" s="4"/>
    </row>
    <row r="146" spans="1:5" x14ac:dyDescent="0.3">
      <c r="A146" s="33"/>
      <c r="B146" s="33" t="s">
        <v>1075</v>
      </c>
      <c r="C146" s="33" t="s">
        <v>197</v>
      </c>
      <c r="D146" s="33"/>
      <c r="E146" s="33" t="s">
        <v>1069</v>
      </c>
    </row>
    <row r="147" spans="1:5" x14ac:dyDescent="0.3">
      <c r="A147" s="33"/>
      <c r="B147" s="33" t="s">
        <v>1076</v>
      </c>
      <c r="C147" s="33" t="s">
        <v>197</v>
      </c>
      <c r="D147" s="33"/>
      <c r="E147" s="33" t="s">
        <v>1070</v>
      </c>
    </row>
    <row r="148" spans="1:5" x14ac:dyDescent="0.3">
      <c r="A148" s="33"/>
      <c r="B148" s="33" t="s">
        <v>1077</v>
      </c>
      <c r="C148" s="33" t="s">
        <v>197</v>
      </c>
      <c r="D148" s="33"/>
      <c r="E148" s="33" t="s">
        <v>1071</v>
      </c>
    </row>
    <row r="149" spans="1:5" x14ac:dyDescent="0.3">
      <c r="A149" s="33"/>
      <c r="B149" s="33" t="s">
        <v>1078</v>
      </c>
      <c r="C149" s="33" t="s">
        <v>197</v>
      </c>
      <c r="D149" s="33"/>
      <c r="E149" s="33" t="s">
        <v>1072</v>
      </c>
    </row>
    <row r="150" spans="1:5" x14ac:dyDescent="0.3">
      <c r="A150" s="33"/>
      <c r="B150" s="33" t="s">
        <v>1079</v>
      </c>
      <c r="C150" s="33" t="s">
        <v>197</v>
      </c>
      <c r="D150" s="33"/>
      <c r="E150" s="33" t="s">
        <v>1073</v>
      </c>
    </row>
    <row r="151" spans="1:5" x14ac:dyDescent="0.3">
      <c r="A151" s="33"/>
      <c r="B151" s="33" t="s">
        <v>1080</v>
      </c>
      <c r="C151" s="33" t="s">
        <v>197</v>
      </c>
      <c r="D151" s="33"/>
      <c r="E151" s="33" t="s">
        <v>1074</v>
      </c>
    </row>
    <row r="152" spans="1:5" x14ac:dyDescent="0.3">
      <c r="A152" s="33"/>
      <c r="B152" s="33" t="s">
        <v>1081</v>
      </c>
      <c r="C152" s="33" t="s">
        <v>197</v>
      </c>
      <c r="D152" s="33"/>
      <c r="E152" s="33" t="s">
        <v>1074</v>
      </c>
    </row>
    <row r="153" spans="1:5" x14ac:dyDescent="0.3">
      <c r="A153" s="33"/>
      <c r="B153" s="33" t="s">
        <v>1082</v>
      </c>
      <c r="C153" s="33" t="s">
        <v>197</v>
      </c>
      <c r="D153" s="33"/>
      <c r="E153" s="33" t="s">
        <v>1074</v>
      </c>
    </row>
    <row r="154" spans="1:5" x14ac:dyDescent="0.3">
      <c r="A154" s="33"/>
      <c r="B154" s="33" t="s">
        <v>1083</v>
      </c>
      <c r="C154" s="33" t="s">
        <v>197</v>
      </c>
      <c r="D154" s="33"/>
      <c r="E154" s="33" t="s">
        <v>1074</v>
      </c>
    </row>
    <row r="155" spans="1:5" x14ac:dyDescent="0.3">
      <c r="A155" s="4"/>
      <c r="B155" s="4"/>
      <c r="C155" s="4"/>
      <c r="D155" s="4" t="s">
        <v>1067</v>
      </c>
      <c r="E155" s="4"/>
    </row>
    <row r="157" spans="1:5" x14ac:dyDescent="0.3">
      <c r="A157" s="33"/>
      <c r="B157" s="33" t="s">
        <v>1084</v>
      </c>
      <c r="C157" s="33" t="s">
        <v>197</v>
      </c>
      <c r="D157" s="33"/>
      <c r="E157" s="33" t="s">
        <v>1069</v>
      </c>
    </row>
    <row r="158" spans="1:5" x14ac:dyDescent="0.3">
      <c r="A158" s="33"/>
      <c r="B158" s="33" t="s">
        <v>1085</v>
      </c>
      <c r="C158" s="33" t="s">
        <v>197</v>
      </c>
      <c r="D158" s="33"/>
      <c r="E158" s="33" t="s">
        <v>1070</v>
      </c>
    </row>
    <row r="159" spans="1:5" x14ac:dyDescent="0.3">
      <c r="A159" s="33"/>
      <c r="B159" s="33" t="s">
        <v>1086</v>
      </c>
      <c r="C159" s="33" t="s">
        <v>197</v>
      </c>
      <c r="D159" s="33"/>
      <c r="E159" s="33" t="s">
        <v>1071</v>
      </c>
    </row>
    <row r="160" spans="1:5" x14ac:dyDescent="0.3">
      <c r="A160" s="33"/>
      <c r="B160" s="33" t="s">
        <v>1087</v>
      </c>
      <c r="C160" s="33" t="s">
        <v>197</v>
      </c>
      <c r="D160" s="33"/>
      <c r="E160" s="33" t="s">
        <v>1072</v>
      </c>
    </row>
    <row r="161" spans="1:5" x14ac:dyDescent="0.3">
      <c r="A161" s="33"/>
      <c r="B161" s="33" t="s">
        <v>1088</v>
      </c>
      <c r="C161" s="33" t="s">
        <v>197</v>
      </c>
      <c r="D161" s="33"/>
      <c r="E161" s="33" t="s">
        <v>1073</v>
      </c>
    </row>
    <row r="162" spans="1:5" x14ac:dyDescent="0.3">
      <c r="A162" s="33"/>
      <c r="B162" s="33" t="s">
        <v>1089</v>
      </c>
      <c r="C162" s="33" t="s">
        <v>197</v>
      </c>
      <c r="D162" s="33"/>
      <c r="E162" s="33" t="s">
        <v>1074</v>
      </c>
    </row>
    <row r="163" spans="1:5" x14ac:dyDescent="0.3">
      <c r="A163" s="33"/>
      <c r="B163" s="33" t="s">
        <v>1090</v>
      </c>
      <c r="C163" s="33" t="s">
        <v>197</v>
      </c>
      <c r="D163" s="33"/>
      <c r="E163" s="33" t="s">
        <v>1074</v>
      </c>
    </row>
    <row r="164" spans="1:5" x14ac:dyDescent="0.3">
      <c r="A164" s="33"/>
      <c r="B164" s="33" t="s">
        <v>1091</v>
      </c>
      <c r="C164" s="33" t="s">
        <v>197</v>
      </c>
      <c r="D164" s="33"/>
      <c r="E164" s="33" t="s">
        <v>1074</v>
      </c>
    </row>
    <row r="165" spans="1:5" x14ac:dyDescent="0.3">
      <c r="A165" s="33"/>
      <c r="B165" s="33" t="s">
        <v>1092</v>
      </c>
      <c r="C165" s="33" t="s">
        <v>197</v>
      </c>
      <c r="D165" s="33"/>
      <c r="E165" s="33" t="s">
        <v>1074</v>
      </c>
    </row>
    <row r="166" spans="1:5" x14ac:dyDescent="0.3">
      <c r="A166" s="4"/>
      <c r="B166" s="4"/>
      <c r="C166" s="4"/>
      <c r="D166" s="4" t="s">
        <v>1093</v>
      </c>
      <c r="E166" s="4"/>
    </row>
  </sheetData>
  <dataConsolidate/>
  <mergeCells count="2">
    <mergeCell ref="B6:D6"/>
    <mergeCell ref="B3:D3"/>
  </mergeCells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845A-00B6-45CC-9CC7-525439F13A5B}">
  <sheetPr codeName="Hoja17">
    <tabColor rgb="FF00B050"/>
  </sheetPr>
  <dimension ref="A1:F64"/>
  <sheetViews>
    <sheetView zoomScaleNormal="100" workbookViewId="0">
      <selection activeCell="D11" sqref="D11"/>
    </sheetView>
  </sheetViews>
  <sheetFormatPr defaultColWidth="11.44140625" defaultRowHeight="14.4" x14ac:dyDescent="0.3"/>
  <cols>
    <col min="1" max="1" width="5.44140625" style="1" bestFit="1" customWidth="1"/>
    <col min="2" max="2" width="11.664062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6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6" x14ac:dyDescent="0.3">
      <c r="B2" s="4"/>
      <c r="D2" s="4"/>
    </row>
    <row r="3" spans="1:6" x14ac:dyDescent="0.3">
      <c r="A3" s="1" t="s">
        <v>181</v>
      </c>
      <c r="B3" s="47" t="str">
        <f>ifwinactive_group&amp;E3</f>
        <v>#IfWinActive ahk_group gr_launcher_hs</v>
      </c>
      <c r="C3" s="47"/>
      <c r="D3" s="47"/>
      <c r="E3" s="1" t="s">
        <v>1266</v>
      </c>
    </row>
    <row r="4" spans="1:6" x14ac:dyDescent="0.3">
      <c r="B4" s="30"/>
      <c r="C4" s="30" t="s">
        <v>856</v>
      </c>
      <c r="D4" s="30"/>
    </row>
    <row r="5" spans="1:6" x14ac:dyDescent="0.3">
      <c r="B5" s="1" t="s">
        <v>917</v>
      </c>
      <c r="C5" s="1" t="s">
        <v>197</v>
      </c>
      <c r="D5" s="9" t="str">
        <f>CONCATENATE("go.run(",quote,E5,quoteclose)</f>
        <v>go.run("Ne_auto")</v>
      </c>
      <c r="E5" s="1" t="s">
        <v>135</v>
      </c>
      <c r="F5" s="1" t="s">
        <v>1252</v>
      </c>
    </row>
    <row r="6" spans="1:6" x14ac:dyDescent="0.3">
      <c r="D6" s="9"/>
    </row>
    <row r="7" spans="1:6" x14ac:dyDescent="0.3">
      <c r="A7" s="1" t="s">
        <v>181</v>
      </c>
      <c r="B7" s="1" t="s">
        <v>918</v>
      </c>
      <c r="C7" s="1" t="s">
        <v>197</v>
      </c>
      <c r="D7" s="9" t="str">
        <f>CONCATENATE("go.run(",quote,E7,quoteclose)</f>
        <v>go.run("zomt_excel")</v>
      </c>
      <c r="E7" s="1" t="s">
        <v>252</v>
      </c>
      <c r="F7" s="1" t="s">
        <v>1253</v>
      </c>
    </row>
    <row r="8" spans="1:6" x14ac:dyDescent="0.3">
      <c r="B8" s="1" t="s">
        <v>919</v>
      </c>
      <c r="C8" s="1" t="s">
        <v>197</v>
      </c>
      <c r="D8" s="9" t="str">
        <f>CONCATENATE("go.run(",quote,E8,quoteclose)</f>
        <v>go.run("zomt_fTicket2")</v>
      </c>
      <c r="E8" s="1" t="s">
        <v>857</v>
      </c>
      <c r="F8" s="1" t="s">
        <v>1251</v>
      </c>
    </row>
    <row r="9" spans="1:6" x14ac:dyDescent="0.3">
      <c r="B9" s="1" t="s">
        <v>920</v>
      </c>
      <c r="C9" s="1" t="s">
        <v>197</v>
      </c>
      <c r="D9" s="9" t="str">
        <f>CONCATENATE("go.run(",quote,E9,quoteclose)</f>
        <v>go.run("zomt_dModulo")</v>
      </c>
      <c r="E9" s="1" t="s">
        <v>858</v>
      </c>
      <c r="F9" s="1" t="s">
        <v>1262</v>
      </c>
    </row>
    <row r="10" spans="1:6" x14ac:dyDescent="0.3">
      <c r="B10" s="1" t="s">
        <v>921</v>
      </c>
      <c r="C10" s="1" t="s">
        <v>197</v>
      </c>
      <c r="D10" s="9" t="str">
        <f>CONCATENATE("go.run(",quote,E10,quoteclose)</f>
        <v>go.run("zomt_dEmpresa")</v>
      </c>
      <c r="E10" s="1" t="s">
        <v>859</v>
      </c>
      <c r="F10" s="1" t="s">
        <v>1261</v>
      </c>
    </row>
    <row r="11" spans="1:6" x14ac:dyDescent="0.3">
      <c r="B11" s="1" t="s">
        <v>1259</v>
      </c>
      <c r="C11" s="1" t="s">
        <v>197</v>
      </c>
      <c r="D11" s="9" t="str">
        <f>CONCATENATE("go.run(",quote,E11,quoteclose)</f>
        <v>go.run("zomt_sEmpresa")</v>
      </c>
      <c r="E11" s="1" t="s">
        <v>1263</v>
      </c>
      <c r="F11" s="1" t="s">
        <v>1260</v>
      </c>
    </row>
    <row r="12" spans="1:6" x14ac:dyDescent="0.3">
      <c r="D12" s="9"/>
    </row>
    <row r="13" spans="1:6" x14ac:dyDescent="0.3">
      <c r="B13" s="30"/>
      <c r="C13" s="30" t="s">
        <v>317</v>
      </c>
      <c r="D13" s="30"/>
    </row>
    <row r="14" spans="1:6" x14ac:dyDescent="0.3">
      <c r="A14" s="1" t="s">
        <v>181</v>
      </c>
      <c r="B14" s="1" t="s">
        <v>916</v>
      </c>
      <c r="C14" s="1" t="s">
        <v>197</v>
      </c>
      <c r="D14" s="9" t="str">
        <f>CONCATENATE("go.run(",quote,E14,quoteclose)</f>
        <v>go.run("Nf_music")</v>
      </c>
      <c r="E14" s="1" t="s">
        <v>137</v>
      </c>
    </row>
    <row r="15" spans="1:6" x14ac:dyDescent="0.3">
      <c r="D15" s="9"/>
    </row>
    <row r="16" spans="1:6" x14ac:dyDescent="0.3">
      <c r="B16" s="30"/>
      <c r="C16" s="30" t="s">
        <v>854</v>
      </c>
      <c r="D16" s="30"/>
    </row>
    <row r="17" spans="1:5" x14ac:dyDescent="0.3">
      <c r="A17" s="1" t="s">
        <v>181</v>
      </c>
      <c r="B17" s="1" t="s">
        <v>913</v>
      </c>
      <c r="C17" s="1" t="s">
        <v>197</v>
      </c>
      <c r="D17" s="9" t="str">
        <f>CONCATENATE("go.run(",quote,E17,quoteclose)</f>
        <v>go.run("A_zosss004")</v>
      </c>
      <c r="E17" s="1" t="s">
        <v>771</v>
      </c>
    </row>
    <row r="18" spans="1:5" x14ac:dyDescent="0.3">
      <c r="A18" s="1" t="s">
        <v>181</v>
      </c>
      <c r="B18" s="1" t="s">
        <v>914</v>
      </c>
      <c r="C18" s="1" t="s">
        <v>197</v>
      </c>
      <c r="D18" s="9" t="str">
        <f>CONCATENATE("go.run(",quote,E18,quoteclose)</f>
        <v>go.run("A_zosss005")</v>
      </c>
      <c r="E18" s="1" t="s">
        <v>132</v>
      </c>
    </row>
    <row r="19" spans="1:5" x14ac:dyDescent="0.3">
      <c r="D19" s="9"/>
    </row>
    <row r="20" spans="1:5" x14ac:dyDescent="0.3">
      <c r="B20" s="30"/>
      <c r="C20" s="30" t="s">
        <v>316</v>
      </c>
      <c r="D20" s="30"/>
    </row>
    <row r="21" spans="1:5" x14ac:dyDescent="0.3">
      <c r="B21" s="1" t="s">
        <v>1331</v>
      </c>
      <c r="C21" s="1" t="s">
        <v>197</v>
      </c>
      <c r="D21" s="9" t="str">
        <f>CONCATENATE("go.run(",quote,E21,quoteclose)</f>
        <v>go.run("A_whatsapp")</v>
      </c>
      <c r="E21" s="1" t="s">
        <v>85</v>
      </c>
    </row>
    <row r="22" spans="1:5" x14ac:dyDescent="0.3">
      <c r="B22" s="1" t="s">
        <v>1332</v>
      </c>
      <c r="C22" s="1" t="s">
        <v>197</v>
      </c>
      <c r="D22" s="9" t="str">
        <f>CONCATENATE("go.run(",quote,E22,quoteclose)</f>
        <v>go.run("A_calendar")</v>
      </c>
      <c r="E22" s="1" t="s">
        <v>88</v>
      </c>
    </row>
    <row r="23" spans="1:5" x14ac:dyDescent="0.3">
      <c r="B23" s="1" t="s">
        <v>915</v>
      </c>
      <c r="C23" s="1" t="s">
        <v>197</v>
      </c>
      <c r="D23" s="9" t="str">
        <f>CONCATENATE("go.run(",quote,E23,quoteclose)</f>
        <v>go.run("Ow_time")</v>
      </c>
      <c r="E23" s="1" t="s">
        <v>129</v>
      </c>
    </row>
    <row r="24" spans="1:5" x14ac:dyDescent="0.3">
      <c r="D24" s="9"/>
    </row>
    <row r="25" spans="1:5" x14ac:dyDescent="0.3">
      <c r="B25" s="30"/>
      <c r="C25" s="30" t="s">
        <v>855</v>
      </c>
      <c r="D25" s="30"/>
    </row>
    <row r="26" spans="1:5" x14ac:dyDescent="0.3">
      <c r="B26" s="1" t="s">
        <v>1307</v>
      </c>
      <c r="C26" s="1" t="s">
        <v>197</v>
      </c>
      <c r="D26" s="9" t="str">
        <f>CONCATENATE("go.run(",quote,E26,quoteclose)</f>
        <v>go.run("A_onedrive")</v>
      </c>
      <c r="E26" s="1" t="s">
        <v>77</v>
      </c>
    </row>
    <row r="27" spans="1:5" x14ac:dyDescent="0.3">
      <c r="B27" s="1" t="s">
        <v>1333</v>
      </c>
      <c r="C27" s="1" t="s">
        <v>197</v>
      </c>
      <c r="D27" s="9" t="str">
        <f>CONCATENATE("go.run(",quote,E27,quoteclose)</f>
        <v>go.run("A_mega")</v>
      </c>
      <c r="E27" s="1" t="s">
        <v>79</v>
      </c>
    </row>
    <row r="28" spans="1:5" x14ac:dyDescent="0.3">
      <c r="B28" s="1" t="s">
        <v>1334</v>
      </c>
      <c r="C28" s="1" t="s">
        <v>197</v>
      </c>
      <c r="D28" s="9" t="str">
        <f>CONCATENATE("go.run(",quote,E28,quoteclose)</f>
        <v>go.run("A_googledrive")</v>
      </c>
      <c r="E28" s="1" t="s">
        <v>82</v>
      </c>
    </row>
    <row r="29" spans="1:5" x14ac:dyDescent="0.3">
      <c r="D29" s="9"/>
    </row>
    <row r="30" spans="1:5" x14ac:dyDescent="0.3">
      <c r="B30" s="30"/>
      <c r="C30" s="30" t="s">
        <v>853</v>
      </c>
      <c r="D30" s="30"/>
    </row>
    <row r="31" spans="1:5" x14ac:dyDescent="0.3">
      <c r="B31" s="1" t="s">
        <v>1335</v>
      </c>
      <c r="C31" s="1" t="s">
        <v>197</v>
      </c>
      <c r="D31" s="9" t="str">
        <f>CONCATENATE("go.run(",quote,E31,quoteclose)</f>
        <v>go.run("A_killsap")</v>
      </c>
      <c r="E31" s="1" t="s">
        <v>97</v>
      </c>
    </row>
    <row r="33" spans="1:6" x14ac:dyDescent="0.3">
      <c r="A33" s="1" t="s">
        <v>181</v>
      </c>
      <c r="B33" s="47" t="str">
        <f>ifwinactive_group&amp;E33</f>
        <v>#IfWinActive ahk_group gr_launcher_app</v>
      </c>
      <c r="C33" s="47"/>
      <c r="D33" s="47"/>
      <c r="E33" s="1" t="s">
        <v>1267</v>
      </c>
    </row>
    <row r="34" spans="1:6" x14ac:dyDescent="0.3">
      <c r="A34" s="1" t="s">
        <v>181</v>
      </c>
      <c r="B34" s="1" t="s">
        <v>918</v>
      </c>
      <c r="C34" s="1" t="s">
        <v>197</v>
      </c>
      <c r="D34" s="9" t="str">
        <f>CONCATENATE("go.run(",quote,E34,quoteclose)</f>
        <v>go.run("zomt_excel")</v>
      </c>
      <c r="E34" s="1" t="s">
        <v>252</v>
      </c>
      <c r="F34" s="1" t="s">
        <v>1253</v>
      </c>
    </row>
    <row r="35" spans="1:6" x14ac:dyDescent="0.3">
      <c r="A35" s="1" t="s">
        <v>181</v>
      </c>
      <c r="B35" s="1" t="s">
        <v>378</v>
      </c>
      <c r="C35" s="1" t="s">
        <v>197</v>
      </c>
      <c r="D35" s="9" t="str">
        <f>CONCATENATE("go.run(",quote,E35,quoteclose)</f>
        <v>go.run("D:\NT\Cloud\OneDrive\Ap\Snippet\Abap\Ym\ymt.txt")</v>
      </c>
      <c r="E35" s="1" t="s">
        <v>1337</v>
      </c>
    </row>
    <row r="36" spans="1:6" x14ac:dyDescent="0.3">
      <c r="A36" s="1" t="s">
        <v>181</v>
      </c>
      <c r="B36" s="1" t="s">
        <v>380</v>
      </c>
      <c r="C36" s="1" t="s">
        <v>197</v>
      </c>
      <c r="D36" s="9" t="str">
        <f>CONCATENATE("go.run(",quote,E36,quoteclose)</f>
        <v>go.run("D:\NT\Cloud\OneDrive\Ap\Snippet\Abap\Ym\ymr.txt")</v>
      </c>
      <c r="E36" s="1" t="s">
        <v>1338</v>
      </c>
    </row>
    <row r="37" spans="1:6" x14ac:dyDescent="0.3">
      <c r="A37" s="1" t="s">
        <v>181</v>
      </c>
      <c r="B37" s="1" t="s">
        <v>1336</v>
      </c>
      <c r="C37" s="1" t="s">
        <v>197</v>
      </c>
      <c r="D37" s="9" t="str">
        <f>CONCATENATE("go.run(",quote,E37,quoteclose)</f>
        <v>go.run("Nf_music")</v>
      </c>
      <c r="E37" s="1" t="s">
        <v>137</v>
      </c>
    </row>
    <row r="38" spans="1:6" x14ac:dyDescent="0.3">
      <c r="A38" s="1" t="s">
        <v>181</v>
      </c>
      <c r="B38" s="1" t="s">
        <v>1316</v>
      </c>
      <c r="C38" s="1" t="s">
        <v>197</v>
      </c>
      <c r="D38" s="9" t="str">
        <f>CONCATENATE("go.run(",quote,E38,quoteclose)</f>
        <v>go.run("Ne_auto")</v>
      </c>
      <c r="E38" s="1" t="s">
        <v>135</v>
      </c>
      <c r="F38" s="1" t="s">
        <v>1252</v>
      </c>
    </row>
    <row r="39" spans="1:6" x14ac:dyDescent="0.3">
      <c r="B39" s="1" t="s">
        <v>1320</v>
      </c>
      <c r="C39" s="1" t="s">
        <v>197</v>
      </c>
      <c r="D39" s="9" t="str">
        <f t="shared" ref="D39:D63" si="0">CONCATENATE("go.run(",quote,E39,quoteclose)</f>
        <v>go.run("A_access")</v>
      </c>
      <c r="E39" s="1" t="s">
        <v>19</v>
      </c>
    </row>
    <row r="40" spans="1:6" x14ac:dyDescent="0.3">
      <c r="A40" s="1" t="s">
        <v>181</v>
      </c>
      <c r="B40" s="1" t="s">
        <v>1326</v>
      </c>
      <c r="C40" s="1" t="s">
        <v>197</v>
      </c>
      <c r="D40" s="9" t="str">
        <f t="shared" si="0"/>
        <v>go.run("A_aimp")</v>
      </c>
      <c r="E40" s="1" t="s">
        <v>71</v>
      </c>
    </row>
    <row r="41" spans="1:6" x14ac:dyDescent="0.3">
      <c r="A41" s="1" t="s">
        <v>181</v>
      </c>
      <c r="B41" s="1" t="s">
        <v>1304</v>
      </c>
      <c r="C41" s="1" t="s">
        <v>197</v>
      </c>
      <c r="D41" s="9" t="str">
        <f t="shared" si="0"/>
        <v>go.run("A_chrome")</v>
      </c>
      <c r="E41" s="1" t="s">
        <v>22</v>
      </c>
    </row>
    <row r="42" spans="1:6" x14ac:dyDescent="0.3">
      <c r="A42" s="1" t="s">
        <v>181</v>
      </c>
      <c r="B42" s="1" t="s">
        <v>1327</v>
      </c>
      <c r="C42" s="1" t="s">
        <v>197</v>
      </c>
      <c r="D42" s="9" t="str">
        <f t="shared" si="0"/>
        <v>go.run("A_cmd")</v>
      </c>
      <c r="E42" s="1" t="s">
        <v>25</v>
      </c>
    </row>
    <row r="43" spans="1:6" x14ac:dyDescent="0.3">
      <c r="B43" s="1" t="s">
        <v>1319</v>
      </c>
      <c r="C43" s="1" t="s">
        <v>197</v>
      </c>
      <c r="D43" s="9" t="str">
        <f t="shared" si="0"/>
        <v>go.run("A_eclipse")</v>
      </c>
      <c r="E43" s="1" t="s">
        <v>60</v>
      </c>
    </row>
    <row r="44" spans="1:6" x14ac:dyDescent="0.3">
      <c r="A44" s="1" t="s">
        <v>181</v>
      </c>
      <c r="B44" s="1" t="s">
        <v>1305</v>
      </c>
      <c r="C44" s="1" t="s">
        <v>197</v>
      </c>
      <c r="D44" s="9" t="str">
        <f t="shared" si="0"/>
        <v>go.run("A_edge")</v>
      </c>
      <c r="E44" s="1" t="s">
        <v>31</v>
      </c>
    </row>
    <row r="45" spans="1:6" x14ac:dyDescent="0.3">
      <c r="A45" s="1" t="s">
        <v>181</v>
      </c>
      <c r="B45" s="1" t="s">
        <v>1306</v>
      </c>
      <c r="C45" s="1" t="s">
        <v>197</v>
      </c>
      <c r="D45" s="9" t="str">
        <f t="shared" si="0"/>
        <v>go.run("A_excel")</v>
      </c>
      <c r="E45" s="1" t="s">
        <v>14</v>
      </c>
    </row>
    <row r="46" spans="1:6" x14ac:dyDescent="0.3">
      <c r="A46" s="1" t="s">
        <v>181</v>
      </c>
      <c r="B46" s="1" t="s">
        <v>1307</v>
      </c>
      <c r="C46" s="1" t="s">
        <v>197</v>
      </c>
      <c r="D46" s="9" t="str">
        <f t="shared" si="0"/>
        <v>go.run("A_explorer")</v>
      </c>
      <c r="E46" s="1" t="s">
        <v>37</v>
      </c>
    </row>
    <row r="47" spans="1:6" x14ac:dyDescent="0.3">
      <c r="A47" s="1" t="s">
        <v>181</v>
      </c>
      <c r="B47" s="1" t="s">
        <v>1308</v>
      </c>
      <c r="C47" s="1" t="s">
        <v>197</v>
      </c>
      <c r="D47" s="9" t="str">
        <f t="shared" si="0"/>
        <v>go.run("A_firefox")</v>
      </c>
      <c r="E47" s="1" t="s">
        <v>28</v>
      </c>
    </row>
    <row r="48" spans="1:6" x14ac:dyDescent="0.3">
      <c r="A48" s="1" t="s">
        <v>181</v>
      </c>
      <c r="B48" s="1" t="s">
        <v>1330</v>
      </c>
      <c r="C48" s="1" t="s">
        <v>197</v>
      </c>
      <c r="D48" s="9" t="str">
        <f t="shared" si="0"/>
        <v>go.run("A_notepad")</v>
      </c>
      <c r="E48" s="1" t="s">
        <v>4</v>
      </c>
    </row>
    <row r="49" spans="1:5" x14ac:dyDescent="0.3">
      <c r="A49" s="1" t="s">
        <v>181</v>
      </c>
      <c r="B49" s="1" t="s">
        <v>1329</v>
      </c>
      <c r="C49" s="1" t="s">
        <v>197</v>
      </c>
      <c r="D49" s="9" t="str">
        <f t="shared" si="0"/>
        <v>go.run("A_notepad2")</v>
      </c>
      <c r="E49" s="1" t="s">
        <v>8</v>
      </c>
    </row>
    <row r="50" spans="1:5" x14ac:dyDescent="0.3">
      <c r="A50" s="1" t="s">
        <v>181</v>
      </c>
      <c r="B50" s="1" t="s">
        <v>1328</v>
      </c>
      <c r="C50" s="1" t="s">
        <v>197</v>
      </c>
      <c r="D50" s="9" t="str">
        <f t="shared" si="0"/>
        <v>go.run("A_notion")</v>
      </c>
      <c r="E50" s="1" t="s">
        <v>58</v>
      </c>
    </row>
    <row r="51" spans="1:5" x14ac:dyDescent="0.3">
      <c r="B51" s="1" t="s">
        <v>1321</v>
      </c>
      <c r="C51" s="1" t="s">
        <v>197</v>
      </c>
      <c r="D51" s="9" t="str">
        <f t="shared" si="0"/>
        <v>go.run("A_onenote")</v>
      </c>
      <c r="E51" s="1" t="s">
        <v>51</v>
      </c>
    </row>
    <row r="52" spans="1:5" x14ac:dyDescent="0.3">
      <c r="B52" s="1" t="s">
        <v>1309</v>
      </c>
      <c r="C52" s="1" t="s">
        <v>197</v>
      </c>
      <c r="D52" s="9" t="str">
        <f t="shared" si="0"/>
        <v>go.run("A_outlook")</v>
      </c>
      <c r="E52" s="1" t="s">
        <v>48</v>
      </c>
    </row>
    <row r="53" spans="1:5" x14ac:dyDescent="0.3">
      <c r="B53" s="1" t="s">
        <v>1322</v>
      </c>
      <c r="C53" s="1" t="s">
        <v>197</v>
      </c>
      <c r="D53" s="9" t="str">
        <f t="shared" si="0"/>
        <v>go.run("A_powerpoint")</v>
      </c>
      <c r="E53" s="1" t="s">
        <v>16</v>
      </c>
    </row>
    <row r="54" spans="1:5" x14ac:dyDescent="0.3">
      <c r="B54" s="1" t="s">
        <v>1310</v>
      </c>
      <c r="C54" s="1" t="s">
        <v>197</v>
      </c>
      <c r="D54" s="9" t="str">
        <f t="shared" si="0"/>
        <v>go.run("A_saplogon")</v>
      </c>
      <c r="E54" s="1" t="s">
        <v>45</v>
      </c>
    </row>
    <row r="55" spans="1:5" x14ac:dyDescent="0.3">
      <c r="B55" s="1" t="s">
        <v>1324</v>
      </c>
      <c r="C55" s="1" t="s">
        <v>197</v>
      </c>
      <c r="D55" s="9" t="str">
        <f t="shared" si="0"/>
        <v>go.run("A_snagit")</v>
      </c>
      <c r="E55" s="1" t="s">
        <v>74</v>
      </c>
    </row>
    <row r="56" spans="1:5" x14ac:dyDescent="0.3">
      <c r="A56" s="1" t="s">
        <v>181</v>
      </c>
      <c r="B56" s="1" t="s">
        <v>1325</v>
      </c>
      <c r="C56" s="1" t="s">
        <v>197</v>
      </c>
      <c r="D56" s="9" t="str">
        <f t="shared" si="0"/>
        <v>go.run("A_spy")</v>
      </c>
      <c r="E56" s="1" t="s">
        <v>68</v>
      </c>
    </row>
    <row r="57" spans="1:5" x14ac:dyDescent="0.3">
      <c r="A57" s="1" t="s">
        <v>181</v>
      </c>
      <c r="B57" s="1" t="s">
        <v>1323</v>
      </c>
      <c r="C57" s="1" t="s">
        <v>197</v>
      </c>
      <c r="D57" s="9" t="str">
        <f t="shared" si="0"/>
        <v>go.run("A_taskmanager")</v>
      </c>
      <c r="E57" s="1" t="s">
        <v>62</v>
      </c>
    </row>
    <row r="58" spans="1:5" x14ac:dyDescent="0.3">
      <c r="A58" s="1" t="s">
        <v>181</v>
      </c>
      <c r="B58" s="1" t="s">
        <v>1311</v>
      </c>
      <c r="C58" s="1" t="s">
        <v>197</v>
      </c>
      <c r="D58" s="9" t="str">
        <f t="shared" si="0"/>
        <v>go.run("A_teams")</v>
      </c>
      <c r="E58" s="1" t="s">
        <v>55</v>
      </c>
    </row>
    <row r="59" spans="1:5" x14ac:dyDescent="0.3">
      <c r="A59" s="1" t="s">
        <v>181</v>
      </c>
      <c r="B59" s="1" t="s">
        <v>1312</v>
      </c>
      <c r="C59" s="1" t="s">
        <v>197</v>
      </c>
      <c r="D59" s="9" t="str">
        <f t="shared" si="0"/>
        <v>go.run("A_visualtime")</v>
      </c>
      <c r="E59" s="1" t="s">
        <v>65</v>
      </c>
    </row>
    <row r="60" spans="1:5" x14ac:dyDescent="0.3">
      <c r="A60" s="1" t="s">
        <v>181</v>
      </c>
      <c r="B60" s="1" t="s">
        <v>911</v>
      </c>
      <c r="C60" s="1" t="s">
        <v>197</v>
      </c>
      <c r="D60" s="9" t="str">
        <f t="shared" si="0"/>
        <v>go.run("A_vscode")</v>
      </c>
      <c r="E60" s="1" t="s">
        <v>805</v>
      </c>
    </row>
    <row r="61" spans="1:5" x14ac:dyDescent="0.3">
      <c r="B61" s="1" t="s">
        <v>1313</v>
      </c>
      <c r="C61" s="1" t="s">
        <v>197</v>
      </c>
      <c r="D61" s="9" t="str">
        <f t="shared" si="0"/>
        <v>go.run("A_word")</v>
      </c>
      <c r="E61" s="1" t="s">
        <v>11</v>
      </c>
    </row>
    <row r="62" spans="1:5" x14ac:dyDescent="0.3">
      <c r="B62" s="1" t="s">
        <v>1314</v>
      </c>
      <c r="C62" s="1" t="s">
        <v>197</v>
      </c>
      <c r="D62" s="9" t="str">
        <f t="shared" si="0"/>
        <v>go.run("A_wps")</v>
      </c>
      <c r="E62" s="1" t="s">
        <v>52</v>
      </c>
    </row>
    <row r="63" spans="1:5" x14ac:dyDescent="0.3">
      <c r="B63" s="1" t="s">
        <v>1315</v>
      </c>
      <c r="C63" s="1" t="s">
        <v>197</v>
      </c>
      <c r="D63" s="9" t="str">
        <f t="shared" si="0"/>
        <v>go.run("A_xyplorer")</v>
      </c>
      <c r="E63" s="1" t="s">
        <v>56</v>
      </c>
    </row>
    <row r="64" spans="1:5" x14ac:dyDescent="0.3">
      <c r="D64" s="9"/>
    </row>
  </sheetData>
  <sortState xmlns:xlrd2="http://schemas.microsoft.com/office/spreadsheetml/2017/richdata2" ref="A39:E63">
    <sortCondition ref="E39:E63"/>
  </sortState>
  <dataConsolidate/>
  <mergeCells count="2">
    <mergeCell ref="B3:D3"/>
    <mergeCell ref="B33:D33"/>
  </mergeCells>
  <conditionalFormatting sqref="E18">
    <cfRule type="duplicateValues" dxfId="16" priority="2"/>
  </conditionalFormatting>
  <conditionalFormatting sqref="E17">
    <cfRule type="duplicateValues" dxfId="15" priority="1"/>
  </conditionalFormatting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rgb="FF7030A0"/>
  </sheetPr>
  <dimension ref="A1:E37"/>
  <sheetViews>
    <sheetView zoomScaleNormal="100" workbookViewId="0">
      <selection activeCell="B12" sqref="B12"/>
    </sheetView>
  </sheetViews>
  <sheetFormatPr defaultColWidth="11.44140625" defaultRowHeight="14.4" x14ac:dyDescent="0.3"/>
  <cols>
    <col min="1" max="1" width="5.44140625" style="1" bestFit="1" customWidth="1"/>
    <col min="2" max="2" width="10.10937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47" t="str">
        <f>ifwinactive_exe&amp;E2</f>
        <v>#IfWinActive ahk_exe msedge.exe</v>
      </c>
      <c r="C2" s="47"/>
      <c r="D2" s="47"/>
      <c r="E2" s="1" t="s">
        <v>326</v>
      </c>
    </row>
    <row r="3" spans="1:5" x14ac:dyDescent="0.3">
      <c r="B3" s="1" t="s">
        <v>277</v>
      </c>
      <c r="C3" s="1" t="s">
        <v>197</v>
      </c>
      <c r="D3" s="1" t="s">
        <v>327</v>
      </c>
    </row>
    <row r="4" spans="1:5" x14ac:dyDescent="0.3">
      <c r="B4" s="1" t="s">
        <v>297</v>
      </c>
      <c r="C4" s="1" t="s">
        <v>197</v>
      </c>
      <c r="D4" s="1" t="s">
        <v>808</v>
      </c>
    </row>
    <row r="5" spans="1:5" x14ac:dyDescent="0.3">
      <c r="A5" s="1" t="s">
        <v>181</v>
      </c>
      <c r="B5" s="1" t="s">
        <v>335</v>
      </c>
      <c r="C5" s="1" t="s">
        <v>197</v>
      </c>
      <c r="D5" s="1" t="s">
        <v>812</v>
      </c>
    </row>
    <row r="7" spans="1:5" x14ac:dyDescent="0.3">
      <c r="A7" s="1" t="s">
        <v>181</v>
      </c>
      <c r="B7" s="47" t="str">
        <f>ifwinactive_exe&amp;E7</f>
        <v>#IfWinActive ahk_exe chrome.exe</v>
      </c>
      <c r="C7" s="47"/>
      <c r="D7" s="47"/>
      <c r="E7" s="1" t="s">
        <v>328</v>
      </c>
    </row>
    <row r="8" spans="1:5" x14ac:dyDescent="0.3">
      <c r="B8" s="1" t="s">
        <v>275</v>
      </c>
      <c r="C8" s="1" t="s">
        <v>197</v>
      </c>
      <c r="D8" s="1" t="s">
        <v>276</v>
      </c>
    </row>
    <row r="9" spans="1:5" x14ac:dyDescent="0.3">
      <c r="B9" s="1" t="s">
        <v>277</v>
      </c>
      <c r="C9" s="1" t="s">
        <v>197</v>
      </c>
      <c r="D9" s="1" t="s">
        <v>298</v>
      </c>
    </row>
    <row r="10" spans="1:5" x14ac:dyDescent="0.3">
      <c r="B10" s="1" t="s">
        <v>297</v>
      </c>
      <c r="C10" s="1" t="s">
        <v>197</v>
      </c>
      <c r="D10" s="1" t="s">
        <v>808</v>
      </c>
    </row>
    <row r="11" spans="1:5" x14ac:dyDescent="0.3">
      <c r="A11" s="1" t="s">
        <v>181</v>
      </c>
      <c r="B11" s="1" t="s">
        <v>335</v>
      </c>
      <c r="C11" s="1" t="s">
        <v>197</v>
      </c>
      <c r="D11" s="1" t="s">
        <v>812</v>
      </c>
    </row>
    <row r="12" spans="1:5" x14ac:dyDescent="0.3">
      <c r="B12" s="1" t="s">
        <v>339</v>
      </c>
      <c r="C12" s="1" t="s">
        <v>197</v>
      </c>
      <c r="D12" s="1" t="s">
        <v>1282</v>
      </c>
    </row>
    <row r="14" spans="1:5" x14ac:dyDescent="0.3">
      <c r="A14" s="1" t="s">
        <v>181</v>
      </c>
      <c r="B14" s="47" t="str">
        <f>ifwinactive_exe&amp;E14</f>
        <v>#IfWinActive ahk_exe firefox.exe</v>
      </c>
      <c r="C14" s="47"/>
      <c r="D14" s="47"/>
      <c r="E14" s="1" t="s">
        <v>333</v>
      </c>
    </row>
    <row r="15" spans="1:5" x14ac:dyDescent="0.3">
      <c r="B15" s="1" t="s">
        <v>277</v>
      </c>
      <c r="C15" s="1" t="s">
        <v>197</v>
      </c>
      <c r="D15" s="1" t="s">
        <v>331</v>
      </c>
    </row>
    <row r="16" spans="1:5" x14ac:dyDescent="0.3">
      <c r="B16" s="1" t="s">
        <v>297</v>
      </c>
      <c r="C16" s="1" t="s">
        <v>197</v>
      </c>
      <c r="D16" s="1" t="s">
        <v>808</v>
      </c>
    </row>
    <row r="17" spans="1:5" x14ac:dyDescent="0.3">
      <c r="A17" s="1" t="s">
        <v>181</v>
      </c>
      <c r="B17" s="1" t="s">
        <v>335</v>
      </c>
      <c r="C17" s="1" t="s">
        <v>197</v>
      </c>
      <c r="D17" s="1" t="s">
        <v>812</v>
      </c>
    </row>
    <row r="18" spans="1:5" x14ac:dyDescent="0.3">
      <c r="A18" s="1" t="s">
        <v>181</v>
      </c>
      <c r="B18" s="1" t="s">
        <v>903</v>
      </c>
      <c r="C18" s="1" t="s">
        <v>197</v>
      </c>
      <c r="D18" s="1" t="s">
        <v>904</v>
      </c>
    </row>
    <row r="20" spans="1:5" x14ac:dyDescent="0.3">
      <c r="A20" s="1" t="s">
        <v>181</v>
      </c>
      <c r="B20" s="47" t="str">
        <f>ifwinactive_exe&amp;E20</f>
        <v>#IfWinActive ahk_exe Notion.exe</v>
      </c>
      <c r="C20" s="47"/>
      <c r="D20" s="47"/>
      <c r="E20" s="19" t="s">
        <v>319</v>
      </c>
    </row>
    <row r="21" spans="1:5" x14ac:dyDescent="0.3">
      <c r="A21" s="1" t="s">
        <v>181</v>
      </c>
      <c r="B21" s="1" t="s">
        <v>275</v>
      </c>
      <c r="C21" s="1" t="s">
        <v>197</v>
      </c>
      <c r="D21" s="1" t="s">
        <v>276</v>
      </c>
    </row>
    <row r="22" spans="1:5" x14ac:dyDescent="0.3">
      <c r="A22" s="1" t="s">
        <v>181</v>
      </c>
      <c r="B22" s="1" t="s">
        <v>277</v>
      </c>
      <c r="C22" s="1" t="s">
        <v>197</v>
      </c>
      <c r="D22" s="1" t="s">
        <v>298</v>
      </c>
    </row>
    <row r="23" spans="1:5" x14ac:dyDescent="0.3">
      <c r="A23" s="1" t="s">
        <v>181</v>
      </c>
      <c r="B23" s="1" t="s">
        <v>321</v>
      </c>
      <c r="C23" s="1" t="s">
        <v>197</v>
      </c>
      <c r="D23" s="1" t="s">
        <v>320</v>
      </c>
    </row>
    <row r="24" spans="1:5" x14ac:dyDescent="0.3">
      <c r="A24" s="1" t="s">
        <v>181</v>
      </c>
      <c r="B24" s="1" t="s">
        <v>322</v>
      </c>
      <c r="C24" s="1" t="s">
        <v>197</v>
      </c>
      <c r="D24" s="1" t="s">
        <v>323</v>
      </c>
    </row>
    <row r="25" spans="1:5" x14ac:dyDescent="0.3">
      <c r="A25" s="1" t="s">
        <v>181</v>
      </c>
      <c r="B25" s="1" t="s">
        <v>324</v>
      </c>
      <c r="C25" s="1" t="s">
        <v>197</v>
      </c>
      <c r="D25" s="1" t="s">
        <v>325</v>
      </c>
    </row>
    <row r="27" spans="1:5" x14ac:dyDescent="0.3">
      <c r="B27" s="47" t="str">
        <f>ifwinactive_exe&amp;E27</f>
        <v>#IfWinActive ahk_exe Teams.exe</v>
      </c>
      <c r="C27" s="47"/>
      <c r="D27" s="47"/>
      <c r="E27" s="1" t="s">
        <v>330</v>
      </c>
    </row>
    <row r="28" spans="1:5" x14ac:dyDescent="0.3">
      <c r="B28" s="1" t="s">
        <v>277</v>
      </c>
      <c r="C28" s="1" t="s">
        <v>197</v>
      </c>
      <c r="D28" s="1" t="s">
        <v>331</v>
      </c>
    </row>
    <row r="30" spans="1:5" x14ac:dyDescent="0.3">
      <c r="A30" s="1" t="s">
        <v>181</v>
      </c>
      <c r="B30" s="47" t="str">
        <f>ifwinactive_exe&amp;E30</f>
        <v>#IfWinActive ahk_exe RemNote.exe</v>
      </c>
      <c r="C30" s="47"/>
      <c r="D30" s="47"/>
      <c r="E30" s="19" t="s">
        <v>908</v>
      </c>
    </row>
    <row r="31" spans="1:5" x14ac:dyDescent="0.3">
      <c r="A31" s="1" t="s">
        <v>181</v>
      </c>
      <c r="B31" s="1" t="s">
        <v>275</v>
      </c>
      <c r="C31" s="1" t="s">
        <v>197</v>
      </c>
    </row>
    <row r="32" spans="1:5" x14ac:dyDescent="0.3">
      <c r="A32" s="1" t="s">
        <v>181</v>
      </c>
      <c r="D32" s="1" t="s">
        <v>1278</v>
      </c>
    </row>
    <row r="33" spans="1:4" x14ac:dyDescent="0.3">
      <c r="A33" s="1" t="s">
        <v>181</v>
      </c>
      <c r="D33" s="1" t="s">
        <v>1280</v>
      </c>
    </row>
    <row r="34" spans="1:4" x14ac:dyDescent="0.3">
      <c r="A34" s="1" t="s">
        <v>181</v>
      </c>
      <c r="D34" s="1" t="s">
        <v>1279</v>
      </c>
    </row>
    <row r="35" spans="1:4" x14ac:dyDescent="0.3">
      <c r="A35" s="1" t="s">
        <v>181</v>
      </c>
      <c r="D35" s="1" t="s">
        <v>227</v>
      </c>
    </row>
    <row r="36" spans="1:4" x14ac:dyDescent="0.3">
      <c r="A36" s="1" t="s">
        <v>181</v>
      </c>
      <c r="B36" s="1" t="s">
        <v>277</v>
      </c>
      <c r="C36" s="1" t="s">
        <v>197</v>
      </c>
      <c r="D36" s="1" t="s">
        <v>298</v>
      </c>
    </row>
    <row r="37" spans="1:4" x14ac:dyDescent="0.3">
      <c r="B37" s="1" t="s">
        <v>1276</v>
      </c>
      <c r="C37" s="1" t="s">
        <v>197</v>
      </c>
      <c r="D37" s="1" t="s">
        <v>879</v>
      </c>
    </row>
  </sheetData>
  <dataConsolidate/>
  <mergeCells count="6">
    <mergeCell ref="B30:D30"/>
    <mergeCell ref="B20:D20"/>
    <mergeCell ref="B14:D14"/>
    <mergeCell ref="B7:D7"/>
    <mergeCell ref="B2:D2"/>
    <mergeCell ref="B27:D27"/>
  </mergeCells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8AAA4-CC04-4196-9A67-10467F0E4DB4}">
  <sheetPr codeName="Hoja18">
    <tabColor rgb="FF002060"/>
  </sheetPr>
  <dimension ref="A1:E23"/>
  <sheetViews>
    <sheetView zoomScaleNormal="100" workbookViewId="0">
      <selection activeCell="D23" sqref="D23"/>
    </sheetView>
  </sheetViews>
  <sheetFormatPr defaultColWidth="11.44140625" defaultRowHeight="14.4" x14ac:dyDescent="0.3"/>
  <cols>
    <col min="1" max="1" width="5.44140625" style="1" bestFit="1" customWidth="1"/>
    <col min="2" max="2" width="10.10937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B2" s="47" t="str">
        <f>ifwinactive_exe&amp;E2</f>
        <v>#IfWinActive ahk_exe xyplorer.exe</v>
      </c>
      <c r="C2" s="47"/>
      <c r="D2" s="47"/>
      <c r="E2" s="1" t="s">
        <v>329</v>
      </c>
    </row>
    <row r="4" spans="1:5" x14ac:dyDescent="0.3">
      <c r="B4" s="47" t="str">
        <f>ifwinactive_class&amp;E4</f>
        <v>#IfWinActive ahk_class CabinetWClass</v>
      </c>
      <c r="C4" s="47"/>
      <c r="D4" s="47"/>
      <c r="E4" s="1" t="s">
        <v>332</v>
      </c>
    </row>
    <row r="6" spans="1:5" x14ac:dyDescent="0.3">
      <c r="A6" s="1" t="s">
        <v>181</v>
      </c>
      <c r="B6" s="47" t="str">
        <f>ifwinactive_exe&amp;E6</f>
        <v>#IfWinActive ahk_exe switcheroo.exe</v>
      </c>
      <c r="C6" s="47"/>
      <c r="D6" s="47"/>
      <c r="E6" s="1" t="s">
        <v>308</v>
      </c>
    </row>
    <row r="7" spans="1:5" x14ac:dyDescent="0.3">
      <c r="A7" s="1" t="s">
        <v>181</v>
      </c>
      <c r="B7" s="1" t="s">
        <v>309</v>
      </c>
      <c r="C7" s="1" t="s">
        <v>197</v>
      </c>
      <c r="D7" s="1" t="s">
        <v>310</v>
      </c>
    </row>
    <row r="8" spans="1:5" x14ac:dyDescent="0.3">
      <c r="A8" s="1" t="s">
        <v>181</v>
      </c>
      <c r="B8" s="1" t="s">
        <v>311</v>
      </c>
      <c r="C8" s="1" t="s">
        <v>197</v>
      </c>
      <c r="D8" s="1" t="s">
        <v>312</v>
      </c>
    </row>
    <row r="9" spans="1:5" x14ac:dyDescent="0.3">
      <c r="A9" s="1" t="s">
        <v>181</v>
      </c>
      <c r="B9" s="1" t="s">
        <v>313</v>
      </c>
      <c r="C9" s="1" t="s">
        <v>197</v>
      </c>
      <c r="D9" s="1" t="s">
        <v>314</v>
      </c>
    </row>
    <row r="10" spans="1:5" x14ac:dyDescent="0.3">
      <c r="A10" s="1" t="s">
        <v>181</v>
      </c>
      <c r="B10" s="1" t="s">
        <v>315</v>
      </c>
      <c r="C10" s="1" t="s">
        <v>197</v>
      </c>
      <c r="D10" s="1" t="s">
        <v>254</v>
      </c>
    </row>
    <row r="12" spans="1:5" x14ac:dyDescent="0.3">
      <c r="A12" s="1" t="s">
        <v>181</v>
      </c>
      <c r="B12" s="49" t="str">
        <f>ifwinactive_title&amp;E12</f>
        <v>#IfWinActive Snipper - Snipaste</v>
      </c>
      <c r="C12" s="49"/>
      <c r="D12" s="49"/>
      <c r="E12" s="19" t="s">
        <v>255</v>
      </c>
    </row>
    <row r="13" spans="1:5" x14ac:dyDescent="0.3">
      <c r="B13" s="1" t="s">
        <v>288</v>
      </c>
      <c r="C13" s="1" t="s">
        <v>197</v>
      </c>
      <c r="D13" s="1" t="s">
        <v>289</v>
      </c>
    </row>
    <row r="14" spans="1:5" x14ac:dyDescent="0.3">
      <c r="B14" s="1" t="s">
        <v>290</v>
      </c>
      <c r="C14" s="1" t="s">
        <v>197</v>
      </c>
      <c r="D14" s="1" t="s">
        <v>256</v>
      </c>
    </row>
    <row r="15" spans="1:5" x14ac:dyDescent="0.3">
      <c r="B15" s="1" t="s">
        <v>291</v>
      </c>
      <c r="C15" s="1" t="s">
        <v>197</v>
      </c>
      <c r="D15" s="1" t="s">
        <v>292</v>
      </c>
    </row>
    <row r="16" spans="1:5" x14ac:dyDescent="0.3">
      <c r="A16" s="1" t="s">
        <v>181</v>
      </c>
      <c r="B16" s="1" t="s">
        <v>293</v>
      </c>
      <c r="C16" s="1" t="s">
        <v>197</v>
      </c>
    </row>
    <row r="17" spans="1:5" x14ac:dyDescent="0.3">
      <c r="A17" s="1" t="s">
        <v>181</v>
      </c>
      <c r="D17" s="1" t="s">
        <v>286</v>
      </c>
    </row>
    <row r="18" spans="1:5" x14ac:dyDescent="0.3">
      <c r="A18" s="1" t="s">
        <v>181</v>
      </c>
      <c r="D18" s="1" t="s">
        <v>294</v>
      </c>
    </row>
    <row r="19" spans="1:5" x14ac:dyDescent="0.3">
      <c r="A19" s="1" t="s">
        <v>181</v>
      </c>
      <c r="D19" s="1" t="s">
        <v>866</v>
      </c>
    </row>
    <row r="20" spans="1:5" x14ac:dyDescent="0.3">
      <c r="A20" s="1" t="s">
        <v>181</v>
      </c>
      <c r="D20" s="1" t="s">
        <v>227</v>
      </c>
    </row>
    <row r="22" spans="1:5" x14ac:dyDescent="0.3">
      <c r="A22" s="1" t="s">
        <v>181</v>
      </c>
      <c r="B22" s="47" t="str">
        <f>ifwinactive_class&amp;E22</f>
        <v>#IfWinActive ahk_class #32770</v>
      </c>
      <c r="C22" s="47"/>
      <c r="D22" s="47"/>
      <c r="E22" s="1" t="s">
        <v>1407</v>
      </c>
    </row>
    <row r="23" spans="1:5" x14ac:dyDescent="0.3">
      <c r="A23" s="1" t="s">
        <v>181</v>
      </c>
      <c r="B23" s="1" t="s">
        <v>1408</v>
      </c>
      <c r="C23" s="1" t="s">
        <v>197</v>
      </c>
      <c r="D23" s="1" t="s">
        <v>1418</v>
      </c>
    </row>
  </sheetData>
  <dataConsolidate/>
  <mergeCells count="5">
    <mergeCell ref="B4:D4"/>
    <mergeCell ref="B6:D6"/>
    <mergeCell ref="B2:D2"/>
    <mergeCell ref="B12:D12"/>
    <mergeCell ref="B22:D22"/>
  </mergeCells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rgb="FF00B050"/>
  </sheetPr>
  <dimension ref="A1:E154"/>
  <sheetViews>
    <sheetView tabSelected="1" topLeftCell="A19" zoomScaleNormal="100" workbookViewId="0">
      <selection activeCell="D34" sqref="D34"/>
    </sheetView>
  </sheetViews>
  <sheetFormatPr defaultColWidth="11.44140625" defaultRowHeight="14.4" x14ac:dyDescent="0.3"/>
  <cols>
    <col min="1" max="1" width="5.44140625" style="1" bestFit="1" customWidth="1"/>
    <col min="2" max="2" width="21.5546875" style="1" customWidth="1"/>
    <col min="3" max="3" width="3.109375" style="1" bestFit="1" customWidth="1"/>
    <col min="4" max="4" width="53.88671875" style="1" bestFit="1" customWidth="1"/>
    <col min="5" max="5" width="22.44140625" style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45" t="str">
        <f>ifwinactive_title&amp;E2</f>
        <v>#IfWinActive /000 SAP</v>
      </c>
      <c r="C2" s="45"/>
      <c r="D2" s="45"/>
      <c r="E2" s="19" t="s">
        <v>1414</v>
      </c>
    </row>
    <row r="3" spans="1:5" x14ac:dyDescent="0.3">
      <c r="A3" s="1" t="s">
        <v>181</v>
      </c>
      <c r="B3" s="1" t="s">
        <v>335</v>
      </c>
      <c r="C3" s="1" t="s">
        <v>197</v>
      </c>
      <c r="D3" s="1" t="s">
        <v>1413</v>
      </c>
    </row>
    <row r="5" spans="1:5" x14ac:dyDescent="0.3">
      <c r="A5" s="1" t="s">
        <v>181</v>
      </c>
      <c r="B5" s="45" t="str">
        <f>ifwinactive_group&amp;E5</f>
        <v>#IfWinActive ahk_group Gr_sap_debug</v>
      </c>
      <c r="C5" s="45"/>
      <c r="D5" s="45"/>
      <c r="E5" s="19" t="s">
        <v>334</v>
      </c>
    </row>
    <row r="6" spans="1:5" x14ac:dyDescent="0.3">
      <c r="A6" s="1" t="s">
        <v>181</v>
      </c>
      <c r="B6" s="1" t="s">
        <v>335</v>
      </c>
      <c r="C6" s="1" t="s">
        <v>197</v>
      </c>
      <c r="D6" s="1" t="s">
        <v>336</v>
      </c>
    </row>
    <row r="7" spans="1:5" x14ac:dyDescent="0.3">
      <c r="A7" s="1" t="s">
        <v>181</v>
      </c>
      <c r="B7" s="1" t="s">
        <v>337</v>
      </c>
      <c r="C7" s="1" t="s">
        <v>197</v>
      </c>
      <c r="D7" s="1" t="s">
        <v>338</v>
      </c>
    </row>
    <row r="8" spans="1:5" x14ac:dyDescent="0.3">
      <c r="B8" s="1" t="s">
        <v>339</v>
      </c>
      <c r="C8" s="1" t="s">
        <v>197</v>
      </c>
      <c r="D8" s="1" t="s">
        <v>340</v>
      </c>
    </row>
    <row r="9" spans="1:5" x14ac:dyDescent="0.3">
      <c r="B9" s="1" t="s">
        <v>949</v>
      </c>
      <c r="C9" s="1" t="s">
        <v>197</v>
      </c>
      <c r="D9" s="1" t="s">
        <v>624</v>
      </c>
    </row>
    <row r="10" spans="1:5" x14ac:dyDescent="0.3">
      <c r="B10" s="1" t="s">
        <v>297</v>
      </c>
      <c r="C10" s="1" t="s">
        <v>197</v>
      </c>
      <c r="D10" s="1" t="s">
        <v>341</v>
      </c>
    </row>
    <row r="11" spans="1:5" x14ac:dyDescent="0.3">
      <c r="B11" s="1" t="s">
        <v>299</v>
      </c>
      <c r="C11" s="1" t="s">
        <v>197</v>
      </c>
      <c r="D11" s="1" t="s">
        <v>937</v>
      </c>
    </row>
    <row r="12" spans="1:5" x14ac:dyDescent="0.3">
      <c r="B12" s="1" t="s">
        <v>936</v>
      </c>
      <c r="C12" s="1" t="s">
        <v>197</v>
      </c>
      <c r="D12" s="1" t="s">
        <v>938</v>
      </c>
    </row>
    <row r="13" spans="1:5" x14ac:dyDescent="0.3">
      <c r="B13" s="1" t="s">
        <v>935</v>
      </c>
      <c r="C13" s="1" t="s">
        <v>197</v>
      </c>
      <c r="D13" s="1" t="s">
        <v>939</v>
      </c>
    </row>
    <row r="14" spans="1:5" x14ac:dyDescent="0.3">
      <c r="B14" s="1" t="s">
        <v>934</v>
      </c>
      <c r="C14" s="1" t="s">
        <v>197</v>
      </c>
      <c r="D14" s="1" t="s">
        <v>940</v>
      </c>
    </row>
    <row r="16" spans="1:5" x14ac:dyDescent="0.3">
      <c r="A16" s="1" t="s">
        <v>181</v>
      </c>
      <c r="B16" s="45" t="str">
        <f>ifwinactive_class&amp;E16</f>
        <v>#IfWinActive ahk_class SAP_FRONTEND_SESSION</v>
      </c>
      <c r="C16" s="45"/>
      <c r="D16" s="45"/>
      <c r="E16" s="19" t="s">
        <v>342</v>
      </c>
    </row>
    <row r="17" spans="1:5" x14ac:dyDescent="0.3">
      <c r="A17" s="1" t="s">
        <v>181</v>
      </c>
      <c r="B17" s="13" t="s">
        <v>955</v>
      </c>
      <c r="C17" s="1" t="s">
        <v>197</v>
      </c>
      <c r="D17" s="1" t="s">
        <v>350</v>
      </c>
    </row>
    <row r="18" spans="1:5" x14ac:dyDescent="0.3">
      <c r="B18" s="13" t="s">
        <v>956</v>
      </c>
      <c r="C18" s="1" t="s">
        <v>197</v>
      </c>
      <c r="D18" s="1" t="s">
        <v>351</v>
      </c>
    </row>
    <row r="19" spans="1:5" x14ac:dyDescent="0.3">
      <c r="A19" s="1" t="s">
        <v>181</v>
      </c>
      <c r="B19" s="13" t="s">
        <v>864</v>
      </c>
      <c r="C19" s="1" t="s">
        <v>197</v>
      </c>
      <c r="D19" s="9" t="s">
        <v>1401</v>
      </c>
    </row>
    <row r="21" spans="1:5" x14ac:dyDescent="0.3">
      <c r="A21" s="11"/>
      <c r="B21" s="52" t="s">
        <v>1344</v>
      </c>
      <c r="C21" s="52"/>
      <c r="D21" s="52"/>
    </row>
    <row r="22" spans="1:5" x14ac:dyDescent="0.3">
      <c r="A22" s="1" t="s">
        <v>181</v>
      </c>
      <c r="B22" s="1" t="s">
        <v>196</v>
      </c>
      <c r="C22" s="1" t="s">
        <v>197</v>
      </c>
      <c r="D22" s="9" t="str">
        <f>CONCATENATE("go.sap.tcode(",quote,E22,quoteclose)</f>
        <v>go.sap.tcode("/nex")</v>
      </c>
      <c r="E22" s="1" t="s">
        <v>1384</v>
      </c>
    </row>
    <row r="23" spans="1:5" x14ac:dyDescent="0.3">
      <c r="A23" s="1" t="s">
        <v>181</v>
      </c>
      <c r="B23" s="1" t="s">
        <v>353</v>
      </c>
      <c r="C23" s="1" t="s">
        <v>197</v>
      </c>
      <c r="D23" s="9" t="str">
        <f>CONCATENATE("go.sap.tcode(",quote,E23,quoteclose)</f>
        <v>go.sap.tcode("/h")</v>
      </c>
      <c r="E23" s="1" t="s">
        <v>1385</v>
      </c>
    </row>
    <row r="24" spans="1:5" x14ac:dyDescent="0.3">
      <c r="A24" s="1" t="s">
        <v>181</v>
      </c>
      <c r="B24" s="1" t="s">
        <v>355</v>
      </c>
      <c r="C24" s="1" t="s">
        <v>197</v>
      </c>
      <c r="D24" s="1" t="s">
        <v>356</v>
      </c>
    </row>
    <row r="25" spans="1:5" x14ac:dyDescent="0.3">
      <c r="A25" s="1" t="s">
        <v>181</v>
      </c>
      <c r="B25" s="1" t="s">
        <v>357</v>
      </c>
      <c r="C25" s="1" t="s">
        <v>197</v>
      </c>
      <c r="D25" s="1" t="s">
        <v>358</v>
      </c>
    </row>
    <row r="26" spans="1:5" x14ac:dyDescent="0.3">
      <c r="A26" s="1" t="s">
        <v>181</v>
      </c>
      <c r="B26" s="1" t="s">
        <v>321</v>
      </c>
      <c r="C26" s="1" t="s">
        <v>197</v>
      </c>
      <c r="D26" s="1" t="s">
        <v>359</v>
      </c>
    </row>
    <row r="27" spans="1:5" x14ac:dyDescent="0.3">
      <c r="A27" s="1" t="s">
        <v>181</v>
      </c>
      <c r="B27" s="1" t="s">
        <v>322</v>
      </c>
      <c r="C27" s="1" t="s">
        <v>197</v>
      </c>
      <c r="D27" s="1" t="s">
        <v>360</v>
      </c>
    </row>
    <row r="28" spans="1:5" x14ac:dyDescent="0.3">
      <c r="A28" s="1" t="s">
        <v>181</v>
      </c>
      <c r="B28" s="1" t="s">
        <v>631</v>
      </c>
      <c r="C28" s="1" t="s">
        <v>197</v>
      </c>
      <c r="D28" s="1" t="s">
        <v>1002</v>
      </c>
    </row>
    <row r="29" spans="1:5" x14ac:dyDescent="0.3">
      <c r="A29" s="1" t="s">
        <v>181</v>
      </c>
      <c r="B29" s="1" t="s">
        <v>1299</v>
      </c>
      <c r="C29" s="1" t="s">
        <v>197</v>
      </c>
      <c r="D29" s="1" t="s">
        <v>1409</v>
      </c>
    </row>
    <row r="30" spans="1:5" x14ac:dyDescent="0.3">
      <c r="D30" s="13"/>
    </row>
    <row r="31" spans="1:5" s="4" customFormat="1" x14ac:dyDescent="0.3">
      <c r="B31" s="52" t="s">
        <v>1345</v>
      </c>
      <c r="C31" s="52" t="s">
        <v>197</v>
      </c>
      <c r="D31" s="52"/>
    </row>
    <row r="32" spans="1:5" s="4" customFormat="1" x14ac:dyDescent="0.3">
      <c r="A32" s="4" t="s">
        <v>181</v>
      </c>
      <c r="B32" s="5" t="s">
        <v>1375</v>
      </c>
      <c r="C32" s="4" t="s">
        <v>197</v>
      </c>
      <c r="D32" s="9" t="str">
        <f t="shared" ref="D32:D48" si="0">CONCATENATE("go.sap.tcode(",quote,E32,quoteclose)</f>
        <v>go.sap.tcode("ymt")</v>
      </c>
      <c r="E32" s="4" t="s">
        <v>633</v>
      </c>
    </row>
    <row r="33" spans="1:5" s="4" customFormat="1" x14ac:dyDescent="0.3">
      <c r="A33" s="4" t="s">
        <v>181</v>
      </c>
      <c r="B33" s="5" t="s">
        <v>1389</v>
      </c>
      <c r="C33" s="4" t="s">
        <v>197</v>
      </c>
      <c r="D33" s="9" t="str">
        <f>CONCATENATE("go.sap.tcodebutton(",quote,E33,quoteclose)</f>
        <v>go.sap.tcodebutton("ymt","=btn3a")</v>
      </c>
      <c r="E33" s="4" t="s">
        <v>1396</v>
      </c>
    </row>
    <row r="34" spans="1:5" s="4" customFormat="1" x14ac:dyDescent="0.3">
      <c r="A34" s="4" t="s">
        <v>181</v>
      </c>
      <c r="B34" s="5" t="s">
        <v>213</v>
      </c>
      <c r="C34" s="4" t="s">
        <v>197</v>
      </c>
      <c r="D34" s="9" t="str">
        <f t="shared" si="0"/>
        <v>go.sap.tcode("se11")</v>
      </c>
      <c r="E34" s="4" t="s">
        <v>636</v>
      </c>
    </row>
    <row r="35" spans="1:5" s="4" customFormat="1" x14ac:dyDescent="0.3">
      <c r="A35" s="4" t="s">
        <v>181</v>
      </c>
      <c r="B35" s="5" t="s">
        <v>214</v>
      </c>
      <c r="C35" s="4" t="s">
        <v>197</v>
      </c>
      <c r="D35" s="9" t="str">
        <f t="shared" si="0"/>
        <v>go.sap.tcode("se93")</v>
      </c>
      <c r="E35" s="4" t="s">
        <v>641</v>
      </c>
    </row>
    <row r="36" spans="1:5" s="4" customFormat="1" x14ac:dyDescent="0.3">
      <c r="A36" s="4" t="s">
        <v>181</v>
      </c>
      <c r="B36" s="5" t="s">
        <v>1366</v>
      </c>
      <c r="C36" s="4" t="s">
        <v>197</v>
      </c>
      <c r="D36" s="9" t="str">
        <f t="shared" si="0"/>
        <v>go.sap.tcode("se24")</v>
      </c>
      <c r="E36" s="4" t="s">
        <v>638</v>
      </c>
    </row>
    <row r="37" spans="1:5" s="4" customFormat="1" x14ac:dyDescent="0.3">
      <c r="A37" s="4" t="s">
        <v>181</v>
      </c>
      <c r="B37" s="5" t="s">
        <v>1367</v>
      </c>
      <c r="C37" s="4" t="s">
        <v>197</v>
      </c>
      <c r="D37" s="9" t="str">
        <f t="shared" si="0"/>
        <v>go.sap.tcode("se16n")</v>
      </c>
      <c r="E37" s="4" t="s">
        <v>1376</v>
      </c>
    </row>
    <row r="38" spans="1:5" s="4" customFormat="1" x14ac:dyDescent="0.3">
      <c r="A38" s="4" t="s">
        <v>181</v>
      </c>
      <c r="B38" s="5" t="s">
        <v>269</v>
      </c>
      <c r="C38" s="4" t="s">
        <v>197</v>
      </c>
      <c r="D38" s="9" t="str">
        <f t="shared" si="0"/>
        <v>go.sap.tcode("se37")</v>
      </c>
      <c r="E38" s="4" t="s">
        <v>1377</v>
      </c>
    </row>
    <row r="39" spans="1:5" s="4" customFormat="1" x14ac:dyDescent="0.3">
      <c r="A39" s="4" t="s">
        <v>181</v>
      </c>
      <c r="B39" s="5" t="s">
        <v>271</v>
      </c>
      <c r="C39" s="4" t="s">
        <v>197</v>
      </c>
      <c r="D39" s="9" t="str">
        <f t="shared" si="0"/>
        <v>go.sap.tcode("se38")</v>
      </c>
      <c r="E39" s="4" t="s">
        <v>639</v>
      </c>
    </row>
    <row r="40" spans="1:5" s="4" customFormat="1" x14ac:dyDescent="0.3">
      <c r="A40" s="4" t="s">
        <v>181</v>
      </c>
      <c r="B40" s="5" t="s">
        <v>273</v>
      </c>
      <c r="C40" s="4" t="s">
        <v>197</v>
      </c>
      <c r="D40" s="9" t="str">
        <f t="shared" ref="D40" si="1">CONCATENATE("go.sap.tcode(",quote,E40,quoteclose)</f>
        <v>go.sap.tcode("se09")</v>
      </c>
      <c r="E40" s="4" t="s">
        <v>1392</v>
      </c>
    </row>
    <row r="41" spans="1:5" s="4" customFormat="1" x14ac:dyDescent="0.3">
      <c r="A41" s="4" t="s">
        <v>181</v>
      </c>
      <c r="B41" s="5" t="s">
        <v>1368</v>
      </c>
      <c r="C41" s="4" t="s">
        <v>197</v>
      </c>
      <c r="D41" s="9" t="str">
        <f t="shared" si="0"/>
        <v>go.sap.tcode("se80")</v>
      </c>
      <c r="E41" s="4" t="s">
        <v>640</v>
      </c>
    </row>
    <row r="42" spans="1:5" s="4" customFormat="1" x14ac:dyDescent="0.3">
      <c r="A42" s="4" t="s">
        <v>181</v>
      </c>
      <c r="B42" s="5" t="s">
        <v>364</v>
      </c>
      <c r="C42" s="4" t="s">
        <v>197</v>
      </c>
      <c r="D42" s="9" t="str">
        <f t="shared" si="0"/>
        <v>go.sap.tcode("+se11")</v>
      </c>
      <c r="E42" s="35" t="s">
        <v>1378</v>
      </c>
    </row>
    <row r="43" spans="1:5" s="4" customFormat="1" x14ac:dyDescent="0.3">
      <c r="A43" s="4" t="s">
        <v>181</v>
      </c>
      <c r="B43" s="5" t="s">
        <v>366</v>
      </c>
      <c r="C43" s="4" t="s">
        <v>197</v>
      </c>
      <c r="D43" s="9" t="str">
        <f t="shared" si="0"/>
        <v>go.sap.tcode("+se93")</v>
      </c>
      <c r="E43" s="35" t="s">
        <v>1379</v>
      </c>
    </row>
    <row r="44" spans="1:5" s="4" customFormat="1" x14ac:dyDescent="0.3">
      <c r="A44" s="4" t="s">
        <v>181</v>
      </c>
      <c r="B44" s="5" t="s">
        <v>368</v>
      </c>
      <c r="C44" s="4" t="s">
        <v>197</v>
      </c>
      <c r="D44" s="9" t="str">
        <f t="shared" si="0"/>
        <v>go.sap.tcode("+se24")</v>
      </c>
      <c r="E44" s="35" t="s">
        <v>1380</v>
      </c>
    </row>
    <row r="45" spans="1:5" s="4" customFormat="1" x14ac:dyDescent="0.3">
      <c r="A45" s="4" t="s">
        <v>181</v>
      </c>
      <c r="B45" s="5" t="s">
        <v>370</v>
      </c>
      <c r="C45" s="4" t="s">
        <v>197</v>
      </c>
      <c r="D45" s="9" t="str">
        <f t="shared" si="0"/>
        <v>go.sap.tcode("+se16n")</v>
      </c>
      <c r="E45" s="35" t="s">
        <v>1381</v>
      </c>
    </row>
    <row r="46" spans="1:5" s="4" customFormat="1" x14ac:dyDescent="0.3">
      <c r="A46" s="4" t="s">
        <v>181</v>
      </c>
      <c r="B46" s="5" t="s">
        <v>372</v>
      </c>
      <c r="C46" s="4" t="s">
        <v>197</v>
      </c>
      <c r="D46" s="9" t="str">
        <f t="shared" si="0"/>
        <v>go.sap.tcode("+se37")</v>
      </c>
      <c r="E46" s="35" t="s">
        <v>1382</v>
      </c>
    </row>
    <row r="47" spans="1:5" s="4" customFormat="1" x14ac:dyDescent="0.3">
      <c r="A47" s="4" t="s">
        <v>181</v>
      </c>
      <c r="B47" s="5" t="s">
        <v>374</v>
      </c>
      <c r="C47" s="4" t="s">
        <v>197</v>
      </c>
      <c r="D47" s="9" t="str">
        <f t="shared" si="0"/>
        <v>go.sap.tcode("+se38")</v>
      </c>
      <c r="E47" s="35" t="s">
        <v>1365</v>
      </c>
    </row>
    <row r="48" spans="1:5" s="4" customFormat="1" x14ac:dyDescent="0.3">
      <c r="A48" s="4" t="s">
        <v>181</v>
      </c>
      <c r="B48" s="5" t="s">
        <v>376</v>
      </c>
      <c r="C48" s="4" t="s">
        <v>197</v>
      </c>
      <c r="D48" s="9" t="str">
        <f t="shared" si="0"/>
        <v>go.sap.tcode("+se80")</v>
      </c>
      <c r="E48" s="35" t="s">
        <v>1383</v>
      </c>
    </row>
    <row r="49" spans="1:5" s="4" customFormat="1" x14ac:dyDescent="0.3">
      <c r="A49" s="4" t="s">
        <v>181</v>
      </c>
      <c r="B49" s="5" t="s">
        <v>266</v>
      </c>
      <c r="C49" s="4" t="s">
        <v>197</v>
      </c>
      <c r="D49" s="9" t="str">
        <f t="shared" ref="D49" si="2">CONCATENATE("go.sap.tcode(",quote,E49,quoteclose)</f>
        <v>go.sap.tcode("+ymt")</v>
      </c>
      <c r="E49" s="35" t="s">
        <v>1393</v>
      </c>
    </row>
    <row r="50" spans="1:5" s="4" customFormat="1" x14ac:dyDescent="0.3">
      <c r="A50" s="4" t="s">
        <v>181</v>
      </c>
      <c r="B50" s="5" t="s">
        <v>1394</v>
      </c>
      <c r="C50" s="4" t="s">
        <v>197</v>
      </c>
      <c r="D50" s="9" t="str">
        <f>CONCATENATE("go.sap.tcodebutton(",quote,E50,quoteclose)</f>
        <v>go.sap.tcodebutton("+ymt","=btn3a")</v>
      </c>
      <c r="E50" s="35" t="s">
        <v>1395</v>
      </c>
    </row>
    <row r="51" spans="1:5" s="4" customFormat="1" x14ac:dyDescent="0.3">
      <c r="B51" s="5"/>
      <c r="D51" s="1"/>
    </row>
    <row r="52" spans="1:5" s="4" customFormat="1" x14ac:dyDescent="0.3">
      <c r="B52" s="52" t="s">
        <v>1346</v>
      </c>
      <c r="C52" s="52" t="s">
        <v>197</v>
      </c>
      <c r="D52" s="52"/>
    </row>
    <row r="53" spans="1:5" x14ac:dyDescent="0.3">
      <c r="B53" s="1" t="s">
        <v>343</v>
      </c>
      <c r="C53" s="1" t="s">
        <v>197</v>
      </c>
      <c r="D53" s="1" t="s">
        <v>344</v>
      </c>
    </row>
    <row r="54" spans="1:5" x14ac:dyDescent="0.3">
      <c r="A54" s="1" t="s">
        <v>181</v>
      </c>
      <c r="B54" s="1" t="s">
        <v>345</v>
      </c>
      <c r="C54" s="1" t="s">
        <v>197</v>
      </c>
      <c r="D54" s="1" t="s">
        <v>346</v>
      </c>
    </row>
    <row r="55" spans="1:5" x14ac:dyDescent="0.3">
      <c r="A55" s="1" t="s">
        <v>181</v>
      </c>
      <c r="B55" s="1" t="s">
        <v>347</v>
      </c>
      <c r="C55" s="1" t="s">
        <v>197</v>
      </c>
      <c r="D55" s="1" t="s">
        <v>348</v>
      </c>
    </row>
    <row r="57" spans="1:5" s="4" customFormat="1" x14ac:dyDescent="0.3">
      <c r="B57" s="51" t="s">
        <v>1347</v>
      </c>
      <c r="C57" s="51" t="s">
        <v>197</v>
      </c>
      <c r="D57" s="51"/>
    </row>
    <row r="58" spans="1:5" x14ac:dyDescent="0.3">
      <c r="A58" s="1" t="s">
        <v>181</v>
      </c>
      <c r="B58" s="4" t="s">
        <v>870</v>
      </c>
      <c r="C58" s="1" t="s">
        <v>197</v>
      </c>
      <c r="D58" s="4" t="s">
        <v>361</v>
      </c>
    </row>
    <row r="59" spans="1:5" s="4" customFormat="1" x14ac:dyDescent="0.3">
      <c r="B59" s="1"/>
      <c r="D59" s="1"/>
    </row>
    <row r="60" spans="1:5" s="4" customFormat="1" x14ac:dyDescent="0.3">
      <c r="B60" s="51" t="s">
        <v>1347</v>
      </c>
      <c r="C60" s="51" t="s">
        <v>197</v>
      </c>
      <c r="D60" s="51"/>
    </row>
    <row r="61" spans="1:5" s="4" customFormat="1" x14ac:dyDescent="0.3">
      <c r="B61" s="51" t="s">
        <v>1349</v>
      </c>
      <c r="C61" s="51" t="s">
        <v>197</v>
      </c>
      <c r="D61" s="51"/>
    </row>
    <row r="62" spans="1:5" s="4" customFormat="1" x14ac:dyDescent="0.3">
      <c r="A62" s="4" t="s">
        <v>181</v>
      </c>
      <c r="B62" s="4" t="s">
        <v>378</v>
      </c>
      <c r="C62" s="8" t="s">
        <v>197</v>
      </c>
      <c r="D62" s="7"/>
    </row>
    <row r="63" spans="1:5" s="4" customFormat="1" x14ac:dyDescent="0.3">
      <c r="A63" s="4" t="s">
        <v>181</v>
      </c>
      <c r="B63" s="4" t="s">
        <v>379</v>
      </c>
      <c r="C63" s="8" t="s">
        <v>197</v>
      </c>
      <c r="D63" s="7"/>
    </row>
    <row r="64" spans="1:5" s="4" customFormat="1" x14ac:dyDescent="0.3">
      <c r="A64" s="4" t="s">
        <v>181</v>
      </c>
      <c r="B64" s="4" t="s">
        <v>380</v>
      </c>
      <c r="C64" s="8" t="s">
        <v>197</v>
      </c>
      <c r="D64" s="7"/>
    </row>
    <row r="65" spans="1:4" s="4" customFormat="1" x14ac:dyDescent="0.3">
      <c r="A65" s="4" t="s">
        <v>181</v>
      </c>
      <c r="B65" s="4" t="s">
        <v>782</v>
      </c>
      <c r="C65" s="8" t="s">
        <v>197</v>
      </c>
      <c r="D65" s="7"/>
    </row>
    <row r="66" spans="1:4" s="4" customFormat="1" x14ac:dyDescent="0.3">
      <c r="A66" s="4" t="s">
        <v>181</v>
      </c>
      <c r="B66" s="4" t="s">
        <v>381</v>
      </c>
      <c r="C66" s="4" t="s">
        <v>197</v>
      </c>
    </row>
    <row r="67" spans="1:4" s="4" customFormat="1" x14ac:dyDescent="0.3">
      <c r="A67" s="4" t="s">
        <v>181</v>
      </c>
      <c r="B67" s="4" t="s">
        <v>382</v>
      </c>
      <c r="C67" s="4" t="s">
        <v>197</v>
      </c>
    </row>
    <row r="68" spans="1:4" s="4" customFormat="1" x14ac:dyDescent="0.3">
      <c r="A68" s="4" t="s">
        <v>181</v>
      </c>
      <c r="B68" s="4" t="s">
        <v>383</v>
      </c>
      <c r="C68" s="4" t="s">
        <v>197</v>
      </c>
    </row>
    <row r="69" spans="1:4" s="4" customFormat="1" x14ac:dyDescent="0.3">
      <c r="A69" s="4" t="s">
        <v>181</v>
      </c>
      <c r="B69" s="8" t="s">
        <v>384</v>
      </c>
      <c r="C69" s="8" t="s">
        <v>197</v>
      </c>
      <c r="D69" s="7"/>
    </row>
    <row r="70" spans="1:4" s="4" customFormat="1" x14ac:dyDescent="0.3">
      <c r="A70" s="4" t="s">
        <v>181</v>
      </c>
      <c r="B70" s="4" t="s">
        <v>385</v>
      </c>
      <c r="C70" s="8" t="s">
        <v>197</v>
      </c>
      <c r="D70" s="7"/>
    </row>
    <row r="71" spans="1:4" s="4" customFormat="1" x14ac:dyDescent="0.3">
      <c r="A71" s="4" t="s">
        <v>181</v>
      </c>
      <c r="B71" s="4" t="s">
        <v>386</v>
      </c>
      <c r="C71" s="8" t="s">
        <v>197</v>
      </c>
      <c r="D71" s="7"/>
    </row>
    <row r="72" spans="1:4" s="4" customFormat="1" x14ac:dyDescent="0.3">
      <c r="A72" s="4" t="s">
        <v>181</v>
      </c>
      <c r="B72" s="4" t="s">
        <v>387</v>
      </c>
      <c r="C72" s="4" t="s">
        <v>197</v>
      </c>
    </row>
    <row r="73" spans="1:4" s="4" customFormat="1" x14ac:dyDescent="0.3">
      <c r="A73" s="4" t="s">
        <v>181</v>
      </c>
      <c r="B73" s="4" t="s">
        <v>781</v>
      </c>
      <c r="C73" s="4" t="s">
        <v>197</v>
      </c>
    </row>
    <row r="74" spans="1:4" s="4" customFormat="1" x14ac:dyDescent="0.3">
      <c r="A74" s="4" t="s">
        <v>181</v>
      </c>
      <c r="B74" s="4" t="s">
        <v>388</v>
      </c>
      <c r="C74" s="4" t="s">
        <v>197</v>
      </c>
    </row>
    <row r="75" spans="1:4" s="4" customFormat="1" x14ac:dyDescent="0.3">
      <c r="A75" s="4" t="s">
        <v>181</v>
      </c>
      <c r="B75" s="4" t="s">
        <v>389</v>
      </c>
      <c r="C75" s="4" t="s">
        <v>197</v>
      </c>
    </row>
    <row r="76" spans="1:4" s="4" customFormat="1" x14ac:dyDescent="0.3">
      <c r="A76" s="4" t="s">
        <v>181</v>
      </c>
      <c r="B76" s="4" t="s">
        <v>390</v>
      </c>
      <c r="C76" s="4" t="s">
        <v>197</v>
      </c>
    </row>
    <row r="77" spans="1:4" s="4" customFormat="1" x14ac:dyDescent="0.3">
      <c r="A77" s="4" t="s">
        <v>181</v>
      </c>
      <c r="B77" s="4" t="s">
        <v>391</v>
      </c>
      <c r="C77" s="4" t="s">
        <v>197</v>
      </c>
    </row>
    <row r="78" spans="1:4" s="4" customFormat="1" x14ac:dyDescent="0.3">
      <c r="A78" s="4" t="s">
        <v>181</v>
      </c>
      <c r="B78" s="4" t="s">
        <v>392</v>
      </c>
      <c r="C78" s="4" t="s">
        <v>197</v>
      </c>
    </row>
    <row r="79" spans="1:4" s="4" customFormat="1" x14ac:dyDescent="0.3">
      <c r="A79" s="4" t="s">
        <v>181</v>
      </c>
      <c r="B79" s="4" t="s">
        <v>393</v>
      </c>
      <c r="C79" s="4" t="s">
        <v>197</v>
      </c>
    </row>
    <row r="80" spans="1:4" s="4" customFormat="1" x14ac:dyDescent="0.3">
      <c r="A80" s="20"/>
      <c r="B80" s="51" t="s">
        <v>1350</v>
      </c>
      <c r="C80" s="51"/>
      <c r="D80" s="51"/>
    </row>
    <row r="81" spans="1:5" s="4" customFormat="1" x14ac:dyDescent="0.3">
      <c r="A81" s="4" t="s">
        <v>181</v>
      </c>
      <c r="B81" s="27" t="s">
        <v>841</v>
      </c>
      <c r="C81" s="27" t="s">
        <v>197</v>
      </c>
      <c r="D81" s="27"/>
      <c r="E81" s="27" t="s">
        <v>842</v>
      </c>
    </row>
    <row r="82" spans="1:5" s="4" customFormat="1" x14ac:dyDescent="0.3">
      <c r="A82" s="4" t="s">
        <v>181</v>
      </c>
      <c r="B82" s="27" t="s">
        <v>816</v>
      </c>
      <c r="C82" s="27" t="s">
        <v>197</v>
      </c>
      <c r="D82" s="27"/>
      <c r="E82" s="27" t="s">
        <v>886</v>
      </c>
    </row>
    <row r="83" spans="1:5" s="4" customFormat="1" x14ac:dyDescent="0.3">
      <c r="A83" s="4" t="s">
        <v>181</v>
      </c>
      <c r="B83" s="27" t="s">
        <v>815</v>
      </c>
      <c r="C83" s="27" t="s">
        <v>197</v>
      </c>
      <c r="D83" s="27"/>
      <c r="E83" s="27" t="s">
        <v>895</v>
      </c>
    </row>
    <row r="84" spans="1:5" s="4" customFormat="1" x14ac:dyDescent="0.3">
      <c r="A84" s="4" t="s">
        <v>181</v>
      </c>
      <c r="B84" s="27" t="s">
        <v>814</v>
      </c>
      <c r="C84" s="27" t="s">
        <v>197</v>
      </c>
      <c r="D84" s="27"/>
      <c r="E84" s="27" t="s">
        <v>888</v>
      </c>
    </row>
    <row r="85" spans="1:5" s="4" customFormat="1" x14ac:dyDescent="0.3">
      <c r="A85" s="4" t="s">
        <v>181</v>
      </c>
      <c r="B85" s="27" t="s">
        <v>905</v>
      </c>
      <c r="C85" s="27" t="s">
        <v>197</v>
      </c>
      <c r="D85" s="27"/>
      <c r="E85" s="27" t="s">
        <v>843</v>
      </c>
    </row>
    <row r="86" spans="1:5" s="4" customFormat="1" x14ac:dyDescent="0.3">
      <c r="A86" s="4" t="s">
        <v>181</v>
      </c>
      <c r="B86" s="27" t="s">
        <v>844</v>
      </c>
      <c r="C86" s="27" t="s">
        <v>197</v>
      </c>
      <c r="D86" s="27"/>
      <c r="E86" s="27" t="s">
        <v>887</v>
      </c>
    </row>
    <row r="87" spans="1:5" s="4" customFormat="1" x14ac:dyDescent="0.3">
      <c r="A87" s="4" t="s">
        <v>181</v>
      </c>
      <c r="B87" s="27" t="s">
        <v>889</v>
      </c>
      <c r="C87" s="27" t="s">
        <v>197</v>
      </c>
      <c r="D87" s="27"/>
      <c r="E87" s="27" t="s">
        <v>891</v>
      </c>
    </row>
    <row r="88" spans="1:5" s="4" customFormat="1" x14ac:dyDescent="0.3">
      <c r="A88" s="4" t="s">
        <v>181</v>
      </c>
      <c r="B88" s="27" t="s">
        <v>890</v>
      </c>
      <c r="C88" s="27" t="s">
        <v>197</v>
      </c>
      <c r="D88" s="27"/>
      <c r="E88" s="27" t="s">
        <v>892</v>
      </c>
    </row>
    <row r="89" spans="1:5" s="4" customFormat="1" x14ac:dyDescent="0.3">
      <c r="A89" s="4" t="s">
        <v>181</v>
      </c>
      <c r="B89" s="27" t="s">
        <v>893</v>
      </c>
      <c r="C89" s="27" t="s">
        <v>197</v>
      </c>
      <c r="D89" s="27"/>
      <c r="E89" s="27" t="s">
        <v>894</v>
      </c>
    </row>
    <row r="90" spans="1:5" s="4" customFormat="1" x14ac:dyDescent="0.3">
      <c r="A90" s="20"/>
      <c r="B90" s="51" t="s">
        <v>1351</v>
      </c>
      <c r="C90" s="51"/>
      <c r="D90" s="51"/>
    </row>
    <row r="91" spans="1:5" s="4" customFormat="1" x14ac:dyDescent="0.3">
      <c r="A91" s="4" t="s">
        <v>181</v>
      </c>
      <c r="B91" s="28" t="s">
        <v>820</v>
      </c>
      <c r="C91" s="28" t="s">
        <v>197</v>
      </c>
      <c r="D91" s="28"/>
      <c r="E91" s="28" t="s">
        <v>825</v>
      </c>
    </row>
    <row r="92" spans="1:5" s="4" customFormat="1" x14ac:dyDescent="0.3">
      <c r="A92" s="4" t="s">
        <v>181</v>
      </c>
      <c r="B92" s="28" t="s">
        <v>821</v>
      </c>
      <c r="C92" s="28" t="s">
        <v>197</v>
      </c>
      <c r="D92" s="28"/>
      <c r="E92" s="28" t="s">
        <v>827</v>
      </c>
    </row>
    <row r="93" spans="1:5" s="4" customFormat="1" x14ac:dyDescent="0.3">
      <c r="B93" s="28" t="s">
        <v>823</v>
      </c>
      <c r="C93" s="28" t="s">
        <v>197</v>
      </c>
      <c r="D93" s="28"/>
      <c r="E93" s="28" t="s">
        <v>826</v>
      </c>
    </row>
    <row r="94" spans="1:5" s="4" customFormat="1" x14ac:dyDescent="0.3">
      <c r="B94" s="28" t="s">
        <v>824</v>
      </c>
      <c r="C94" s="28" t="s">
        <v>197</v>
      </c>
      <c r="D94" s="28"/>
      <c r="E94" s="28" t="s">
        <v>828</v>
      </c>
    </row>
    <row r="95" spans="1:5" s="4" customFormat="1" x14ac:dyDescent="0.3">
      <c r="B95" s="28" t="s">
        <v>384</v>
      </c>
      <c r="C95" s="28" t="s">
        <v>197</v>
      </c>
      <c r="D95" s="28" t="s">
        <v>831</v>
      </c>
      <c r="E95" s="28" t="s">
        <v>832</v>
      </c>
    </row>
    <row r="96" spans="1:5" s="4" customFormat="1" x14ac:dyDescent="0.3">
      <c r="B96" s="28" t="s">
        <v>840</v>
      </c>
      <c r="C96" s="28" t="s">
        <v>197</v>
      </c>
      <c r="D96" s="28" t="s">
        <v>898</v>
      </c>
      <c r="E96" s="28" t="s">
        <v>829</v>
      </c>
    </row>
    <row r="97" spans="1:5" s="4" customFormat="1" x14ac:dyDescent="0.3">
      <c r="A97" s="4" t="s">
        <v>181</v>
      </c>
      <c r="B97" s="28" t="s">
        <v>822</v>
      </c>
      <c r="C97" s="28" t="s">
        <v>197</v>
      </c>
      <c r="D97" s="28"/>
      <c r="E97" s="28" t="s">
        <v>830</v>
      </c>
    </row>
    <row r="98" spans="1:5" s="4" customFormat="1" x14ac:dyDescent="0.3">
      <c r="A98" s="20"/>
      <c r="B98" s="51" t="s">
        <v>1352</v>
      </c>
      <c r="C98" s="51"/>
      <c r="D98" s="51"/>
    </row>
    <row r="99" spans="1:5" s="4" customFormat="1" x14ac:dyDescent="0.3">
      <c r="B99" s="29" t="s">
        <v>845</v>
      </c>
      <c r="C99" s="29" t="s">
        <v>197</v>
      </c>
      <c r="D99" s="29" t="s">
        <v>897</v>
      </c>
      <c r="E99" s="29" t="s">
        <v>817</v>
      </c>
    </row>
    <row r="100" spans="1:5" s="4" customFormat="1" x14ac:dyDescent="0.3">
      <c r="B100" s="29" t="s">
        <v>846</v>
      </c>
      <c r="C100" s="29" t="s">
        <v>197</v>
      </c>
      <c r="D100" s="29" t="s">
        <v>896</v>
      </c>
      <c r="E100" s="29" t="s">
        <v>818</v>
      </c>
    </row>
    <row r="101" spans="1:5" s="4" customFormat="1" x14ac:dyDescent="0.3">
      <c r="A101" s="20"/>
      <c r="B101" s="51" t="s">
        <v>1353</v>
      </c>
      <c r="C101" s="51"/>
      <c r="D101" s="51"/>
    </row>
    <row r="102" spans="1:5" s="4" customFormat="1" x14ac:dyDescent="0.3">
      <c r="B102" s="29" t="s">
        <v>899</v>
      </c>
      <c r="C102" s="29" t="s">
        <v>197</v>
      </c>
      <c r="D102" s="29" t="s">
        <v>900</v>
      </c>
      <c r="E102" s="29" t="s">
        <v>847</v>
      </c>
    </row>
    <row r="103" spans="1:5" s="4" customFormat="1" x14ac:dyDescent="0.3">
      <c r="B103" s="29" t="s">
        <v>384</v>
      </c>
      <c r="C103" s="29" t="s">
        <v>197</v>
      </c>
      <c r="D103" s="29" t="s">
        <v>901</v>
      </c>
      <c r="E103" s="29" t="s">
        <v>847</v>
      </c>
    </row>
    <row r="104" spans="1:5" s="4" customFormat="1" x14ac:dyDescent="0.3">
      <c r="B104" s="29" t="s">
        <v>384</v>
      </c>
      <c r="C104" s="29" t="s">
        <v>197</v>
      </c>
      <c r="D104" s="29" t="s">
        <v>902</v>
      </c>
      <c r="E104" s="29" t="s">
        <v>847</v>
      </c>
    </row>
    <row r="105" spans="1:5" s="4" customFormat="1" x14ac:dyDescent="0.3">
      <c r="A105" s="20"/>
      <c r="B105" s="51" t="s">
        <v>1354</v>
      </c>
      <c r="C105" s="51"/>
      <c r="D105" s="51"/>
    </row>
    <row r="106" spans="1:5" s="4" customFormat="1" x14ac:dyDescent="0.3">
      <c r="A106" s="4" t="s">
        <v>181</v>
      </c>
      <c r="B106" s="4" t="s">
        <v>834</v>
      </c>
      <c r="C106" s="4" t="s">
        <v>197</v>
      </c>
      <c r="E106" s="4" t="s">
        <v>833</v>
      </c>
    </row>
    <row r="107" spans="1:5" s="4" customFormat="1" x14ac:dyDescent="0.3">
      <c r="A107" s="4" t="s">
        <v>181</v>
      </c>
      <c r="B107" s="4" t="s">
        <v>838</v>
      </c>
      <c r="C107" s="4" t="s">
        <v>197</v>
      </c>
      <c r="E107" s="4" t="s">
        <v>839</v>
      </c>
    </row>
    <row r="108" spans="1:5" s="4" customFormat="1" x14ac:dyDescent="0.3">
      <c r="A108" s="4" t="s">
        <v>181</v>
      </c>
      <c r="B108" s="4" t="s">
        <v>881</v>
      </c>
      <c r="C108" s="4" t="s">
        <v>197</v>
      </c>
      <c r="E108" s="4" t="s">
        <v>882</v>
      </c>
    </row>
    <row r="109" spans="1:5" s="4" customFormat="1" x14ac:dyDescent="0.3">
      <c r="A109" s="4" t="s">
        <v>181</v>
      </c>
      <c r="B109" s="4" t="s">
        <v>819</v>
      </c>
      <c r="C109" s="4" t="s">
        <v>197</v>
      </c>
    </row>
    <row r="110" spans="1:5" s="4" customFormat="1" x14ac:dyDescent="0.3">
      <c r="A110" s="20"/>
      <c r="B110" s="51" t="s">
        <v>1355</v>
      </c>
      <c r="C110" s="51"/>
      <c r="D110" s="51"/>
    </row>
    <row r="111" spans="1:5" s="4" customFormat="1" x14ac:dyDescent="0.3">
      <c r="A111" s="4" t="s">
        <v>181</v>
      </c>
      <c r="B111" s="4" t="s">
        <v>394</v>
      </c>
      <c r="C111" s="4" t="s">
        <v>197</v>
      </c>
    </row>
    <row r="112" spans="1:5" s="4" customFormat="1" x14ac:dyDescent="0.3">
      <c r="A112" s="4" t="s">
        <v>181</v>
      </c>
      <c r="B112" s="4" t="s">
        <v>395</v>
      </c>
      <c r="C112" s="4" t="s">
        <v>197</v>
      </c>
    </row>
    <row r="113" spans="1:4" s="4" customFormat="1" x14ac:dyDescent="0.3">
      <c r="A113" s="4" t="s">
        <v>181</v>
      </c>
      <c r="B113" s="4" t="s">
        <v>396</v>
      </c>
      <c r="C113" s="4" t="s">
        <v>197</v>
      </c>
    </row>
    <row r="114" spans="1:4" s="4" customFormat="1" x14ac:dyDescent="0.3">
      <c r="B114" s="51" t="s">
        <v>1356</v>
      </c>
      <c r="C114" s="51"/>
      <c r="D114" s="51"/>
    </row>
    <row r="115" spans="1:4" s="4" customFormat="1" x14ac:dyDescent="0.3">
      <c r="B115" s="51" t="s">
        <v>1348</v>
      </c>
      <c r="C115" s="51"/>
      <c r="D115" s="51"/>
    </row>
    <row r="116" spans="1:4" s="4" customFormat="1" x14ac:dyDescent="0.3">
      <c r="A116" s="4" t="s">
        <v>181</v>
      </c>
      <c r="B116" s="4" t="s">
        <v>397</v>
      </c>
      <c r="C116" s="4" t="s">
        <v>197</v>
      </c>
    </row>
    <row r="117" spans="1:4" s="4" customFormat="1" x14ac:dyDescent="0.3">
      <c r="A117" s="4" t="s">
        <v>181</v>
      </c>
      <c r="B117" s="4" t="s">
        <v>398</v>
      </c>
      <c r="C117" s="4" t="s">
        <v>197</v>
      </c>
    </row>
    <row r="118" spans="1:4" s="4" customFormat="1" x14ac:dyDescent="0.3">
      <c r="A118" s="4" t="s">
        <v>181</v>
      </c>
      <c r="B118" s="4" t="s">
        <v>399</v>
      </c>
      <c r="C118" s="4" t="s">
        <v>197</v>
      </c>
    </row>
    <row r="119" spans="1:4" s="4" customFormat="1" x14ac:dyDescent="0.3">
      <c r="A119" s="4" t="s">
        <v>181</v>
      </c>
      <c r="B119" s="4" t="s">
        <v>400</v>
      </c>
      <c r="C119" s="4" t="s">
        <v>197</v>
      </c>
    </row>
    <row r="120" spans="1:4" s="4" customFormat="1" x14ac:dyDescent="0.3">
      <c r="A120" s="4" t="s">
        <v>181</v>
      </c>
      <c r="B120" s="4" t="s">
        <v>401</v>
      </c>
      <c r="C120" s="4" t="s">
        <v>197</v>
      </c>
    </row>
    <row r="121" spans="1:4" s="4" customFormat="1" x14ac:dyDescent="0.3">
      <c r="A121" s="4" t="s">
        <v>181</v>
      </c>
      <c r="B121" s="4" t="s">
        <v>402</v>
      </c>
      <c r="C121" s="4" t="s">
        <v>197</v>
      </c>
    </row>
    <row r="122" spans="1:4" s="4" customFormat="1" x14ac:dyDescent="0.3">
      <c r="A122" s="4" t="s">
        <v>181</v>
      </c>
      <c r="B122" s="4" t="s">
        <v>813</v>
      </c>
      <c r="C122" s="4" t="s">
        <v>197</v>
      </c>
    </row>
    <row r="123" spans="1:4" s="4" customFormat="1" x14ac:dyDescent="0.3">
      <c r="A123" s="4" t="s">
        <v>181</v>
      </c>
      <c r="B123" s="4" t="s">
        <v>403</v>
      </c>
      <c r="C123" s="4" t="s">
        <v>197</v>
      </c>
    </row>
    <row r="124" spans="1:4" s="4" customFormat="1" x14ac:dyDescent="0.3">
      <c r="A124" s="4" t="s">
        <v>181</v>
      </c>
      <c r="B124" s="4" t="s">
        <v>404</v>
      </c>
      <c r="C124" s="4" t="s">
        <v>197</v>
      </c>
    </row>
    <row r="125" spans="1:4" s="4" customFormat="1" x14ac:dyDescent="0.3">
      <c r="A125" s="4" t="s">
        <v>181</v>
      </c>
      <c r="B125" s="4" t="s">
        <v>405</v>
      </c>
      <c r="C125" s="4" t="s">
        <v>197</v>
      </c>
    </row>
    <row r="126" spans="1:4" s="4" customFormat="1" x14ac:dyDescent="0.3">
      <c r="A126" s="4" t="s">
        <v>181</v>
      </c>
      <c r="B126" s="4" t="s">
        <v>406</v>
      </c>
      <c r="C126" s="4" t="s">
        <v>197</v>
      </c>
    </row>
    <row r="127" spans="1:4" s="4" customFormat="1" x14ac:dyDescent="0.3">
      <c r="B127" s="51" t="s">
        <v>1357</v>
      </c>
      <c r="C127" s="51"/>
      <c r="D127" s="51"/>
    </row>
    <row r="128" spans="1:4" s="4" customFormat="1" x14ac:dyDescent="0.3">
      <c r="A128" s="4" t="s">
        <v>181</v>
      </c>
      <c r="B128" s="4" t="s">
        <v>407</v>
      </c>
      <c r="C128" s="4" t="s">
        <v>197</v>
      </c>
    </row>
    <row r="129" spans="1:4" s="4" customFormat="1" x14ac:dyDescent="0.3">
      <c r="A129" s="4" t="s">
        <v>181</v>
      </c>
      <c r="B129" s="4" t="s">
        <v>408</v>
      </c>
      <c r="C129" s="4" t="s">
        <v>197</v>
      </c>
    </row>
    <row r="130" spans="1:4" s="4" customFormat="1" x14ac:dyDescent="0.3">
      <c r="A130" s="4" t="s">
        <v>181</v>
      </c>
      <c r="B130" s="4" t="s">
        <v>409</v>
      </c>
      <c r="C130" s="4" t="s">
        <v>197</v>
      </c>
    </row>
    <row r="131" spans="1:4" s="4" customFormat="1" x14ac:dyDescent="0.3">
      <c r="A131" s="4" t="s">
        <v>181</v>
      </c>
      <c r="B131" s="4" t="s">
        <v>410</v>
      </c>
      <c r="C131" s="4" t="s">
        <v>197</v>
      </c>
    </row>
    <row r="132" spans="1:4" s="4" customFormat="1" x14ac:dyDescent="0.3">
      <c r="A132" s="4" t="s">
        <v>181</v>
      </c>
      <c r="B132" s="4" t="s">
        <v>867</v>
      </c>
      <c r="C132" s="4" t="s">
        <v>197</v>
      </c>
    </row>
    <row r="133" spans="1:4" s="4" customFormat="1" x14ac:dyDescent="0.3">
      <c r="B133" s="51" t="s">
        <v>1358</v>
      </c>
      <c r="C133" s="51" t="s">
        <v>197</v>
      </c>
      <c r="D133" s="51"/>
    </row>
    <row r="134" spans="1:4" s="4" customFormat="1" x14ac:dyDescent="0.3">
      <c r="B134" s="51" t="s">
        <v>1359</v>
      </c>
      <c r="C134" s="51" t="s">
        <v>197</v>
      </c>
      <c r="D134" s="51"/>
    </row>
    <row r="135" spans="1:4" s="4" customFormat="1" x14ac:dyDescent="0.3">
      <c r="B135" s="51" t="s">
        <v>1360</v>
      </c>
      <c r="C135" s="51" t="s">
        <v>197</v>
      </c>
      <c r="D135" s="51"/>
    </row>
    <row r="136" spans="1:4" s="4" customFormat="1" x14ac:dyDescent="0.3">
      <c r="A136" s="4" t="s">
        <v>181</v>
      </c>
      <c r="B136" s="4" t="s">
        <v>799</v>
      </c>
      <c r="C136" s="4" t="s">
        <v>197</v>
      </c>
    </row>
    <row r="137" spans="1:4" s="4" customFormat="1" x14ac:dyDescent="0.3">
      <c r="A137" s="4" t="s">
        <v>181</v>
      </c>
      <c r="B137" s="4" t="s">
        <v>411</v>
      </c>
      <c r="C137" s="4" t="s">
        <v>197</v>
      </c>
    </row>
    <row r="138" spans="1:4" s="4" customFormat="1" x14ac:dyDescent="0.3">
      <c r="A138" s="4" t="s">
        <v>181</v>
      </c>
      <c r="B138" s="4" t="s">
        <v>412</v>
      </c>
      <c r="C138" s="4" t="s">
        <v>197</v>
      </c>
    </row>
    <row r="139" spans="1:4" s="4" customFormat="1" x14ac:dyDescent="0.3">
      <c r="A139" s="4" t="s">
        <v>181</v>
      </c>
      <c r="B139" s="4" t="s">
        <v>413</v>
      </c>
      <c r="C139" s="4" t="s">
        <v>197</v>
      </c>
    </row>
    <row r="140" spans="1:4" s="4" customFormat="1" x14ac:dyDescent="0.3">
      <c r="B140" s="51" t="s">
        <v>1361</v>
      </c>
      <c r="C140" s="51" t="s">
        <v>197</v>
      </c>
      <c r="D140" s="51"/>
    </row>
    <row r="141" spans="1:4" s="4" customFormat="1" x14ac:dyDescent="0.3">
      <c r="A141" s="4" t="s">
        <v>181</v>
      </c>
      <c r="B141" s="4" t="s">
        <v>414</v>
      </c>
      <c r="C141" s="4" t="s">
        <v>197</v>
      </c>
    </row>
    <row r="142" spans="1:4" s="4" customFormat="1" x14ac:dyDescent="0.3">
      <c r="A142" s="4" t="s">
        <v>181</v>
      </c>
      <c r="B142" s="4" t="s">
        <v>786</v>
      </c>
      <c r="C142" s="4" t="s">
        <v>197</v>
      </c>
    </row>
    <row r="143" spans="1:4" s="4" customFormat="1" x14ac:dyDescent="0.3">
      <c r="B143" s="51" t="s">
        <v>1362</v>
      </c>
      <c r="C143" s="51" t="s">
        <v>197</v>
      </c>
      <c r="D143" s="51"/>
    </row>
    <row r="144" spans="1:4" s="4" customFormat="1" x14ac:dyDescent="0.3">
      <c r="A144" s="4" t="s">
        <v>181</v>
      </c>
      <c r="B144" s="4" t="s">
        <v>415</v>
      </c>
      <c r="C144" s="4" t="s">
        <v>197</v>
      </c>
    </row>
    <row r="145" spans="1:4" s="4" customFormat="1" x14ac:dyDescent="0.3">
      <c r="A145" s="4" t="s">
        <v>181</v>
      </c>
      <c r="B145" s="4" t="s">
        <v>416</v>
      </c>
      <c r="C145" s="4" t="s">
        <v>197</v>
      </c>
    </row>
    <row r="146" spans="1:4" s="4" customFormat="1" x14ac:dyDescent="0.3">
      <c r="A146" s="4" t="s">
        <v>181</v>
      </c>
      <c r="B146" s="4" t="s">
        <v>417</v>
      </c>
      <c r="C146" s="4" t="s">
        <v>197</v>
      </c>
    </row>
    <row r="147" spans="1:4" s="4" customFormat="1" x14ac:dyDescent="0.3">
      <c r="A147" s="4" t="s">
        <v>181</v>
      </c>
      <c r="B147" s="4" t="s">
        <v>418</v>
      </c>
      <c r="C147" s="4" t="s">
        <v>197</v>
      </c>
    </row>
    <row r="148" spans="1:4" s="4" customFormat="1" x14ac:dyDescent="0.3">
      <c r="B148" s="51" t="s">
        <v>1363</v>
      </c>
      <c r="C148" s="51" t="s">
        <v>197</v>
      </c>
      <c r="D148" s="51"/>
    </row>
    <row r="149" spans="1:4" s="4" customFormat="1" x14ac:dyDescent="0.3">
      <c r="A149" s="4" t="s">
        <v>181</v>
      </c>
      <c r="B149" s="4" t="s">
        <v>419</v>
      </c>
      <c r="C149" s="4" t="s">
        <v>197</v>
      </c>
    </row>
    <row r="150" spans="1:4" s="4" customFormat="1" x14ac:dyDescent="0.3">
      <c r="B150" s="51" t="s">
        <v>1364</v>
      </c>
      <c r="C150" s="51" t="s">
        <v>197</v>
      </c>
      <c r="D150" s="51"/>
    </row>
    <row r="151" spans="1:4" s="4" customFormat="1" x14ac:dyDescent="0.3">
      <c r="B151" s="4" t="s">
        <v>420</v>
      </c>
      <c r="C151" s="4" t="s">
        <v>197</v>
      </c>
    </row>
    <row r="152" spans="1:4" s="4" customFormat="1" x14ac:dyDescent="0.3">
      <c r="B152" s="4" t="s">
        <v>421</v>
      </c>
      <c r="C152" s="4" t="s">
        <v>197</v>
      </c>
    </row>
    <row r="153" spans="1:4" s="4" customFormat="1" x14ac:dyDescent="0.3">
      <c r="A153" s="4" t="s">
        <v>181</v>
      </c>
      <c r="D153" s="5" t="s">
        <v>422</v>
      </c>
    </row>
    <row r="154" spans="1:4" s="4" customFormat="1" x14ac:dyDescent="0.3"/>
  </sheetData>
  <dataConsolidate/>
  <mergeCells count="25">
    <mergeCell ref="B143:D143"/>
    <mergeCell ref="B60:D60"/>
    <mergeCell ref="B61:D61"/>
    <mergeCell ref="B5:D5"/>
    <mergeCell ref="B21:D21"/>
    <mergeCell ref="B52:D52"/>
    <mergeCell ref="B31:D31"/>
    <mergeCell ref="B57:D57"/>
    <mergeCell ref="B16:D16"/>
    <mergeCell ref="B2:D2"/>
    <mergeCell ref="B148:D148"/>
    <mergeCell ref="B150:D150"/>
    <mergeCell ref="B80:D80"/>
    <mergeCell ref="B90:D90"/>
    <mergeCell ref="B98:D98"/>
    <mergeCell ref="B105:D105"/>
    <mergeCell ref="B101:D101"/>
    <mergeCell ref="B110:D110"/>
    <mergeCell ref="B114:D114"/>
    <mergeCell ref="B115:D115"/>
    <mergeCell ref="B127:D127"/>
    <mergeCell ref="B133:D133"/>
    <mergeCell ref="B134:D134"/>
    <mergeCell ref="B135:D135"/>
    <mergeCell ref="B140:D140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2"/>
  </sheetPr>
  <dimension ref="A2:B114"/>
  <sheetViews>
    <sheetView topLeftCell="A80" zoomScaleNormal="100" workbookViewId="0">
      <selection activeCell="B106" sqref="B106"/>
    </sheetView>
  </sheetViews>
  <sheetFormatPr defaultColWidth="8.88671875" defaultRowHeight="12" x14ac:dyDescent="0.25"/>
  <cols>
    <col min="1" max="1" width="8.88671875" style="17" customWidth="1"/>
    <col min="2" max="2" width="30.5546875" style="17" bestFit="1" customWidth="1"/>
    <col min="3" max="16384" width="8.88671875" style="17"/>
  </cols>
  <sheetData>
    <row r="2" spans="1:2" x14ac:dyDescent="0.25">
      <c r="A2" s="17" t="s">
        <v>229</v>
      </c>
    </row>
    <row r="3" spans="1:2" x14ac:dyDescent="0.25">
      <c r="A3" s="17" t="s">
        <v>1001</v>
      </c>
      <c r="B3" s="17" t="s">
        <v>236</v>
      </c>
    </row>
    <row r="4" spans="1:2" x14ac:dyDescent="0.25">
      <c r="A4" s="17" t="s">
        <v>972</v>
      </c>
      <c r="B4" s="17" t="s">
        <v>620</v>
      </c>
    </row>
    <row r="5" spans="1:2" x14ac:dyDescent="0.25">
      <c r="A5" s="17" t="s">
        <v>973</v>
      </c>
      <c r="B5" s="17" t="s">
        <v>621</v>
      </c>
    </row>
    <row r="6" spans="1:2" x14ac:dyDescent="0.25">
      <c r="A6" s="17" t="s">
        <v>974</v>
      </c>
      <c r="B6" s="17" t="s">
        <v>1245</v>
      </c>
    </row>
    <row r="7" spans="1:2" x14ac:dyDescent="0.25">
      <c r="A7" s="17" t="s">
        <v>251</v>
      </c>
      <c r="B7" s="17" t="s">
        <v>622</v>
      </c>
    </row>
    <row r="9" spans="1:2" x14ac:dyDescent="0.25">
      <c r="A9" s="17" t="s">
        <v>257</v>
      </c>
    </row>
    <row r="10" spans="1:2" x14ac:dyDescent="0.25">
      <c r="A10" s="17" t="s">
        <v>258</v>
      </c>
      <c r="B10" s="17" t="s">
        <v>259</v>
      </c>
    </row>
    <row r="12" spans="1:2" x14ac:dyDescent="0.25">
      <c r="A12" s="17" t="s">
        <v>261</v>
      </c>
    </row>
    <row r="13" spans="1:2" x14ac:dyDescent="0.25">
      <c r="A13" s="17" t="s">
        <v>262</v>
      </c>
      <c r="B13" s="17" t="s">
        <v>263</v>
      </c>
    </row>
    <row r="14" spans="1:2" x14ac:dyDescent="0.25">
      <c r="A14" s="17" t="s">
        <v>264</v>
      </c>
      <c r="B14" s="17" t="s">
        <v>265</v>
      </c>
    </row>
    <row r="15" spans="1:2" x14ac:dyDescent="0.25">
      <c r="A15" s="17" t="s">
        <v>266</v>
      </c>
      <c r="B15" s="17" t="s">
        <v>267</v>
      </c>
    </row>
    <row r="16" spans="1:2" x14ac:dyDescent="0.25">
      <c r="A16" s="17" t="s">
        <v>339</v>
      </c>
      <c r="B16" s="17" t="s">
        <v>340</v>
      </c>
    </row>
    <row r="18" spans="1:2" x14ac:dyDescent="0.25">
      <c r="A18" s="17" t="s">
        <v>268</v>
      </c>
    </row>
    <row r="19" spans="1:2" x14ac:dyDescent="0.25">
      <c r="A19" s="17" t="s">
        <v>269</v>
      </c>
      <c r="B19" s="17" t="s">
        <v>270</v>
      </c>
    </row>
    <row r="20" spans="1:2" x14ac:dyDescent="0.25">
      <c r="A20" s="17" t="s">
        <v>271</v>
      </c>
      <c r="B20" s="17" t="s">
        <v>272</v>
      </c>
    </row>
    <row r="21" spans="1:2" x14ac:dyDescent="0.25">
      <c r="A21" s="17" t="s">
        <v>273</v>
      </c>
      <c r="B21" s="17" t="s">
        <v>274</v>
      </c>
    </row>
    <row r="22" spans="1:2" x14ac:dyDescent="0.25">
      <c r="A22" s="17" t="s">
        <v>275</v>
      </c>
      <c r="B22" s="17" t="s">
        <v>276</v>
      </c>
    </row>
    <row r="23" spans="1:2" x14ac:dyDescent="0.25">
      <c r="A23" s="17" t="s">
        <v>277</v>
      </c>
      <c r="B23" s="17" t="s">
        <v>276</v>
      </c>
    </row>
    <row r="25" spans="1:2" x14ac:dyDescent="0.25">
      <c r="A25" s="17" t="s">
        <v>279</v>
      </c>
    </row>
    <row r="26" spans="1:2" x14ac:dyDescent="0.25">
      <c r="A26" s="17" t="s">
        <v>280</v>
      </c>
      <c r="B26" s="17" t="s">
        <v>281</v>
      </c>
    </row>
    <row r="27" spans="1:2" x14ac:dyDescent="0.25">
      <c r="A27" s="17" t="s">
        <v>282</v>
      </c>
      <c r="B27" s="17" t="s">
        <v>283</v>
      </c>
    </row>
    <row r="29" spans="1:2" x14ac:dyDescent="0.25">
      <c r="A29" s="17" t="s">
        <v>789</v>
      </c>
    </row>
    <row r="30" spans="1:2" x14ac:dyDescent="0.25">
      <c r="A30" s="17" t="s">
        <v>277</v>
      </c>
      <c r="B30" s="17" t="s">
        <v>790</v>
      </c>
    </row>
    <row r="31" spans="1:2" x14ac:dyDescent="0.25">
      <c r="A31" s="17" t="s">
        <v>878</v>
      </c>
      <c r="B31" s="17" t="s">
        <v>879</v>
      </c>
    </row>
    <row r="33" spans="1:2" x14ac:dyDescent="0.25">
      <c r="A33" s="17" t="s">
        <v>284</v>
      </c>
    </row>
    <row r="34" spans="1:2" x14ac:dyDescent="0.25">
      <c r="A34" s="17" t="s">
        <v>285</v>
      </c>
      <c r="B34" s="17" t="s">
        <v>286</v>
      </c>
    </row>
    <row r="35" spans="1:2" x14ac:dyDescent="0.25">
      <c r="A35" s="17" t="s">
        <v>277</v>
      </c>
      <c r="B35" s="17" t="s">
        <v>287</v>
      </c>
    </row>
    <row r="37" spans="1:2" x14ac:dyDescent="0.25">
      <c r="A37" s="17" t="s">
        <v>255</v>
      </c>
    </row>
    <row r="38" spans="1:2" x14ac:dyDescent="0.25">
      <c r="A38" s="17" t="s">
        <v>625</v>
      </c>
      <c r="B38" s="17" t="s">
        <v>289</v>
      </c>
    </row>
    <row r="39" spans="1:2" x14ac:dyDescent="0.25">
      <c r="A39" s="17" t="s">
        <v>626</v>
      </c>
      <c r="B39" s="17" t="s">
        <v>256</v>
      </c>
    </row>
    <row r="40" spans="1:2" x14ac:dyDescent="0.25">
      <c r="A40" s="17" t="s">
        <v>627</v>
      </c>
      <c r="B40" s="17" t="s">
        <v>292</v>
      </c>
    </row>
    <row r="41" spans="1:2" x14ac:dyDescent="0.25">
      <c r="A41" s="17" t="s">
        <v>293</v>
      </c>
    </row>
    <row r="43" spans="1:2" x14ac:dyDescent="0.25">
      <c r="A43" s="17" t="s">
        <v>295</v>
      </c>
    </row>
    <row r="44" spans="1:2" x14ac:dyDescent="0.25">
      <c r="A44" s="17" t="s">
        <v>277</v>
      </c>
      <c r="B44" s="17" t="s">
        <v>296</v>
      </c>
    </row>
    <row r="45" spans="1:2" x14ac:dyDescent="0.25">
      <c r="A45" s="17" t="s">
        <v>630</v>
      </c>
      <c r="B45" s="17" t="s">
        <v>300</v>
      </c>
    </row>
    <row r="46" spans="1:2" x14ac:dyDescent="0.25">
      <c r="A46" s="17" t="s">
        <v>297</v>
      </c>
      <c r="B46" s="17" t="s">
        <v>298</v>
      </c>
    </row>
    <row r="48" spans="1:2" x14ac:dyDescent="0.25">
      <c r="A48" s="17" t="s">
        <v>301</v>
      </c>
    </row>
    <row r="49" spans="1:2" x14ac:dyDescent="0.25">
      <c r="A49" s="17" t="s">
        <v>264</v>
      </c>
      <c r="B49" s="17" t="s">
        <v>265</v>
      </c>
    </row>
    <row r="50" spans="1:2" x14ac:dyDescent="0.25">
      <c r="A50" s="17" t="s">
        <v>262</v>
      </c>
      <c r="B50" s="17" t="s">
        <v>263</v>
      </c>
    </row>
    <row r="52" spans="1:2" x14ac:dyDescent="0.25">
      <c r="A52" s="17" t="s">
        <v>302</v>
      </c>
    </row>
    <row r="53" spans="1:2" x14ac:dyDescent="0.25">
      <c r="A53" s="17" t="s">
        <v>277</v>
      </c>
    </row>
    <row r="54" spans="1:2" x14ac:dyDescent="0.25">
      <c r="A54" s="17" t="s">
        <v>885</v>
      </c>
      <c r="B54" s="17" t="s">
        <v>263</v>
      </c>
    </row>
    <row r="55" spans="1:2" x14ac:dyDescent="0.25">
      <c r="A55" s="17" t="s">
        <v>628</v>
      </c>
      <c r="B55" s="17" t="s">
        <v>265</v>
      </c>
    </row>
    <row r="57" spans="1:2" x14ac:dyDescent="0.25">
      <c r="A57" s="17" t="s">
        <v>922</v>
      </c>
    </row>
    <row r="58" spans="1:2" x14ac:dyDescent="0.25">
      <c r="A58" s="17" t="s">
        <v>293</v>
      </c>
      <c r="B58" s="17" t="s">
        <v>318</v>
      </c>
    </row>
    <row r="59" spans="1:2" x14ac:dyDescent="0.25">
      <c r="A59" s="17" t="s">
        <v>864</v>
      </c>
      <c r="B59" s="17" t="s">
        <v>865</v>
      </c>
    </row>
    <row r="61" spans="1:2" x14ac:dyDescent="0.25">
      <c r="A61" s="17" t="s">
        <v>925</v>
      </c>
    </row>
    <row r="63" spans="1:2" x14ac:dyDescent="0.25">
      <c r="A63" s="17" t="s">
        <v>999</v>
      </c>
    </row>
    <row r="65" spans="1:2" x14ac:dyDescent="0.25">
      <c r="A65" s="17" t="s">
        <v>329</v>
      </c>
    </row>
    <row r="66" spans="1:2" x14ac:dyDescent="0.25">
      <c r="A66" s="17" t="s">
        <v>277</v>
      </c>
      <c r="B66" s="17" t="s">
        <v>629</v>
      </c>
    </row>
    <row r="68" spans="1:2" x14ac:dyDescent="0.25">
      <c r="A68" s="17" t="s">
        <v>308</v>
      </c>
    </row>
    <row r="69" spans="1:2" x14ac:dyDescent="0.25">
      <c r="A69" s="17" t="s">
        <v>309</v>
      </c>
      <c r="B69" s="17" t="s">
        <v>310</v>
      </c>
    </row>
    <row r="70" spans="1:2" x14ac:dyDescent="0.25">
      <c r="A70" s="17" t="s">
        <v>311</v>
      </c>
      <c r="B70" s="17" t="s">
        <v>312</v>
      </c>
    </row>
    <row r="71" spans="1:2" x14ac:dyDescent="0.25">
      <c r="A71" s="17" t="s">
        <v>313</v>
      </c>
      <c r="B71" s="17" t="s">
        <v>314</v>
      </c>
    </row>
    <row r="72" spans="1:2" x14ac:dyDescent="0.25">
      <c r="A72" s="17" t="s">
        <v>315</v>
      </c>
      <c r="B72" s="17" t="s">
        <v>254</v>
      </c>
    </row>
    <row r="74" spans="1:2" x14ac:dyDescent="0.25">
      <c r="A74" s="17" t="s">
        <v>334</v>
      </c>
    </row>
    <row r="75" spans="1:2" x14ac:dyDescent="0.25">
      <c r="A75" s="17" t="s">
        <v>335</v>
      </c>
      <c r="B75" s="17" t="s">
        <v>336</v>
      </c>
    </row>
    <row r="76" spans="1:2" x14ac:dyDescent="0.25">
      <c r="A76" s="17" t="s">
        <v>337</v>
      </c>
      <c r="B76" s="17" t="s">
        <v>338</v>
      </c>
    </row>
    <row r="77" spans="1:2" x14ac:dyDescent="0.25">
      <c r="A77" s="17" t="s">
        <v>339</v>
      </c>
      <c r="B77" s="17" t="s">
        <v>340</v>
      </c>
    </row>
    <row r="78" spans="1:2" x14ac:dyDescent="0.25">
      <c r="A78" s="17" t="s">
        <v>623</v>
      </c>
      <c r="B78" s="17" t="s">
        <v>624</v>
      </c>
    </row>
    <row r="79" spans="1:2" x14ac:dyDescent="0.25">
      <c r="A79" s="17" t="s">
        <v>297</v>
      </c>
      <c r="B79" s="17" t="s">
        <v>341</v>
      </c>
    </row>
    <row r="80" spans="1:2" x14ac:dyDescent="0.25">
      <c r="A80" s="17" t="s">
        <v>299</v>
      </c>
      <c r="B80" s="17" t="s">
        <v>937</v>
      </c>
    </row>
    <row r="81" spans="1:2" x14ac:dyDescent="0.25">
      <c r="A81" s="17" t="s">
        <v>936</v>
      </c>
      <c r="B81" s="17" t="s">
        <v>938</v>
      </c>
    </row>
    <row r="82" spans="1:2" x14ac:dyDescent="0.25">
      <c r="A82" s="17" t="s">
        <v>935</v>
      </c>
      <c r="B82" s="17" t="s">
        <v>939</v>
      </c>
    </row>
    <row r="83" spans="1:2" x14ac:dyDescent="0.25">
      <c r="A83" s="17" t="s">
        <v>934</v>
      </c>
      <c r="B83" s="17" t="s">
        <v>940</v>
      </c>
    </row>
    <row r="85" spans="1:2" x14ac:dyDescent="0.25">
      <c r="A85" s="17" t="s">
        <v>342</v>
      </c>
    </row>
    <row r="86" spans="1:2" x14ac:dyDescent="0.25">
      <c r="A86" s="17" t="s">
        <v>339</v>
      </c>
      <c r="B86" s="17" t="s">
        <v>1002</v>
      </c>
    </row>
    <row r="87" spans="1:2" x14ac:dyDescent="0.25">
      <c r="A87" s="17" t="s">
        <v>196</v>
      </c>
      <c r="B87" s="17" t="s">
        <v>352</v>
      </c>
    </row>
    <row r="88" spans="1:2" x14ac:dyDescent="0.25">
      <c r="A88" s="17" t="s">
        <v>353</v>
      </c>
      <c r="B88" s="17" t="s">
        <v>354</v>
      </c>
    </row>
    <row r="89" spans="1:2" x14ac:dyDescent="0.25">
      <c r="A89" s="17" t="s">
        <v>355</v>
      </c>
      <c r="B89" s="17" t="s">
        <v>356</v>
      </c>
    </row>
    <row r="90" spans="1:2" x14ac:dyDescent="0.25">
      <c r="A90" s="17" t="s">
        <v>357</v>
      </c>
      <c r="B90" s="17" t="s">
        <v>358</v>
      </c>
    </row>
    <row r="91" spans="1:2" x14ac:dyDescent="0.25">
      <c r="A91" s="17" t="s">
        <v>321</v>
      </c>
      <c r="B91" s="17" t="s">
        <v>359</v>
      </c>
    </row>
    <row r="92" spans="1:2" x14ac:dyDescent="0.25">
      <c r="A92" s="17" t="s">
        <v>322</v>
      </c>
      <c r="B92" s="17" t="s">
        <v>360</v>
      </c>
    </row>
    <row r="93" spans="1:2" x14ac:dyDescent="0.25">
      <c r="A93" s="17" t="s">
        <v>631</v>
      </c>
      <c r="B93" s="17" t="s">
        <v>349</v>
      </c>
    </row>
    <row r="94" spans="1:2" x14ac:dyDescent="0.25">
      <c r="A94" s="17" t="s">
        <v>364</v>
      </c>
      <c r="B94" s="17" t="s">
        <v>365</v>
      </c>
    </row>
    <row r="95" spans="1:2" x14ac:dyDescent="0.25">
      <c r="A95" s="17" t="s">
        <v>366</v>
      </c>
      <c r="B95" s="17" t="s">
        <v>367</v>
      </c>
    </row>
    <row r="96" spans="1:2" x14ac:dyDescent="0.25">
      <c r="A96" s="17" t="s">
        <v>368</v>
      </c>
      <c r="B96" s="17" t="s">
        <v>369</v>
      </c>
    </row>
    <row r="97" spans="1:2" x14ac:dyDescent="0.25">
      <c r="A97" s="17" t="s">
        <v>370</v>
      </c>
      <c r="B97" s="17" t="s">
        <v>371</v>
      </c>
    </row>
    <row r="98" spans="1:2" x14ac:dyDescent="0.25">
      <c r="A98" s="17" t="s">
        <v>372</v>
      </c>
      <c r="B98" s="17" t="s">
        <v>373</v>
      </c>
    </row>
    <row r="99" spans="1:2" x14ac:dyDescent="0.25">
      <c r="A99" s="17" t="s">
        <v>374</v>
      </c>
      <c r="B99" s="17" t="s">
        <v>375</v>
      </c>
    </row>
    <row r="100" spans="1:2" x14ac:dyDescent="0.25">
      <c r="A100" s="17" t="s">
        <v>376</v>
      </c>
      <c r="B100" s="17" t="s">
        <v>377</v>
      </c>
    </row>
    <row r="101" spans="1:2" x14ac:dyDescent="0.25">
      <c r="A101" s="17" t="s">
        <v>983</v>
      </c>
      <c r="B101" s="17" t="s">
        <v>990</v>
      </c>
    </row>
    <row r="102" spans="1:2" x14ac:dyDescent="0.25">
      <c r="A102" s="17" t="s">
        <v>984</v>
      </c>
      <c r="B102" s="17" t="s">
        <v>991</v>
      </c>
    </row>
    <row r="103" spans="1:2" x14ac:dyDescent="0.25">
      <c r="A103" s="17" t="s">
        <v>985</v>
      </c>
      <c r="B103" s="17" t="s">
        <v>992</v>
      </c>
    </row>
    <row r="104" spans="1:2" x14ac:dyDescent="0.25">
      <c r="A104" s="17" t="s">
        <v>986</v>
      </c>
      <c r="B104" s="17" t="s">
        <v>993</v>
      </c>
    </row>
    <row r="105" spans="1:2" x14ac:dyDescent="0.25">
      <c r="A105" s="17" t="s">
        <v>987</v>
      </c>
      <c r="B105" s="17" t="s">
        <v>994</v>
      </c>
    </row>
    <row r="106" spans="1:2" x14ac:dyDescent="0.25">
      <c r="A106" s="17" t="s">
        <v>988</v>
      </c>
      <c r="B106" s="17" t="s">
        <v>995</v>
      </c>
    </row>
    <row r="107" spans="1:2" x14ac:dyDescent="0.25">
      <c r="A107" s="17" t="s">
        <v>989</v>
      </c>
      <c r="B107" s="17" t="s">
        <v>996</v>
      </c>
    </row>
    <row r="108" spans="1:2" x14ac:dyDescent="0.25">
      <c r="A108" s="17" t="s">
        <v>213</v>
      </c>
      <c r="B108" s="17" t="s">
        <v>980</v>
      </c>
    </row>
    <row r="109" spans="1:2" x14ac:dyDescent="0.25">
      <c r="A109" s="17" t="s">
        <v>970</v>
      </c>
      <c r="B109" s="17" t="s">
        <v>981</v>
      </c>
    </row>
    <row r="110" spans="1:2" x14ac:dyDescent="0.25">
      <c r="A110" s="17" t="s">
        <v>971</v>
      </c>
      <c r="B110" s="17" t="s">
        <v>982</v>
      </c>
    </row>
    <row r="111" spans="1:2" x14ac:dyDescent="0.25">
      <c r="A111" s="17" t="s">
        <v>214</v>
      </c>
      <c r="B111" s="17" t="s">
        <v>363</v>
      </c>
    </row>
    <row r="112" spans="1:2" x14ac:dyDescent="0.25">
      <c r="A112" s="17" t="s">
        <v>343</v>
      </c>
      <c r="B112" s="17" t="s">
        <v>344</v>
      </c>
    </row>
    <row r="113" spans="1:2" x14ac:dyDescent="0.25">
      <c r="A113" s="17" t="s">
        <v>345</v>
      </c>
      <c r="B113" s="17" t="s">
        <v>346</v>
      </c>
    </row>
    <row r="114" spans="1:2" x14ac:dyDescent="0.25">
      <c r="A114" s="17" t="s">
        <v>347</v>
      </c>
      <c r="B114" s="17" t="s">
        <v>348</v>
      </c>
    </row>
  </sheetData>
  <conditionalFormatting sqref="A1:A1048576">
    <cfRule type="containsText" dxfId="14" priority="2" operator="containsText" text="_">
      <formula>NOT(ISERROR(SEARCH("_",A1)))</formula>
    </cfRule>
    <cfRule type="containsText" dxfId="13" priority="3" operator="containsText" text=".">
      <formula>NOT(ISERROR(SEARCH(".",A1)))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4BD29D04-2D69-44D1-8839-4131168D6EE3}">
            <xm:f>NOT(ISERROR(SEARCH("-",A1)))</xm:f>
            <xm:f>"-"</xm:f>
            <x14:dxf>
              <font>
                <b/>
                <i val="0"/>
              </font>
            </x14:dxf>
          </x14:cfRule>
          <xm:sqref>A1:A1048576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tabColor theme="2"/>
  </sheetPr>
  <dimension ref="A1:B267"/>
  <sheetViews>
    <sheetView topLeftCell="A161" zoomScaleNormal="100" workbookViewId="0">
      <selection activeCell="D63" sqref="D63"/>
    </sheetView>
  </sheetViews>
  <sheetFormatPr defaultColWidth="8.88671875" defaultRowHeight="12" x14ac:dyDescent="0.25"/>
  <cols>
    <col min="1" max="1" width="10.88671875" style="17" bestFit="1" customWidth="1"/>
    <col min="2" max="2" width="24.5546875" style="17" customWidth="1"/>
    <col min="3" max="16384" width="8.88671875" style="17"/>
  </cols>
  <sheetData>
    <row r="1" spans="1:1" x14ac:dyDescent="0.25">
      <c r="A1" s="17" t="s">
        <v>1095</v>
      </c>
    </row>
    <row r="2" spans="1:1" x14ac:dyDescent="0.25">
      <c r="A2" s="17" t="s">
        <v>1096</v>
      </c>
    </row>
    <row r="3" spans="1:1" x14ac:dyDescent="0.25">
      <c r="A3" s="17" t="s">
        <v>1097</v>
      </c>
    </row>
    <row r="4" spans="1:1" x14ac:dyDescent="0.25">
      <c r="A4" s="17" t="s">
        <v>1098</v>
      </c>
    </row>
    <row r="5" spans="1:1" x14ac:dyDescent="0.25">
      <c r="A5" s="17" t="s">
        <v>1099</v>
      </c>
    </row>
    <row r="6" spans="1:1" x14ac:dyDescent="0.25">
      <c r="A6" s="17" t="s">
        <v>1100</v>
      </c>
    </row>
    <row r="7" spans="1:1" x14ac:dyDescent="0.25">
      <c r="A7" s="17" t="s">
        <v>675</v>
      </c>
    </row>
    <row r="8" spans="1:1" x14ac:dyDescent="0.25">
      <c r="A8" s="17" t="s">
        <v>676</v>
      </c>
    </row>
    <row r="9" spans="1:1" x14ac:dyDescent="0.25">
      <c r="A9" s="17" t="s">
        <v>677</v>
      </c>
    </row>
    <row r="10" spans="1:1" x14ac:dyDescent="0.25">
      <c r="A10" s="17" t="s">
        <v>678</v>
      </c>
    </row>
    <row r="11" spans="1:1" x14ac:dyDescent="0.25">
      <c r="A11" s="17" t="s">
        <v>679</v>
      </c>
    </row>
    <row r="12" spans="1:1" x14ac:dyDescent="0.25">
      <c r="A12" s="17" t="s">
        <v>680</v>
      </c>
    </row>
    <row r="13" spans="1:1" x14ac:dyDescent="0.25">
      <c r="A13" s="17" t="s">
        <v>681</v>
      </c>
    </row>
    <row r="14" spans="1:1" x14ac:dyDescent="0.25">
      <c r="A14" s="17" t="s">
        <v>682</v>
      </c>
    </row>
    <row r="15" spans="1:1" x14ac:dyDescent="0.25">
      <c r="A15" s="17" t="s">
        <v>683</v>
      </c>
    </row>
    <row r="16" spans="1:1" x14ac:dyDescent="0.25">
      <c r="A16" s="17" t="s">
        <v>684</v>
      </c>
    </row>
    <row r="17" spans="1:1" x14ac:dyDescent="0.25">
      <c r="A17" s="17" t="s">
        <v>685</v>
      </c>
    </row>
    <row r="18" spans="1:1" x14ac:dyDescent="0.25">
      <c r="A18" s="17" t="s">
        <v>686</v>
      </c>
    </row>
    <row r="19" spans="1:1" x14ac:dyDescent="0.25">
      <c r="A19" s="17" t="s">
        <v>687</v>
      </c>
    </row>
    <row r="20" spans="1:1" x14ac:dyDescent="0.25">
      <c r="A20" s="17" t="s">
        <v>688</v>
      </c>
    </row>
    <row r="21" spans="1:1" x14ac:dyDescent="0.25">
      <c r="A21" s="17" t="s">
        <v>1101</v>
      </c>
    </row>
    <row r="22" spans="1:1" x14ac:dyDescent="0.25">
      <c r="A22" s="17" t="s">
        <v>1102</v>
      </c>
    </row>
    <row r="23" spans="1:1" x14ac:dyDescent="0.25">
      <c r="A23" s="17" t="s">
        <v>689</v>
      </c>
    </row>
    <row r="24" spans="1:1" x14ac:dyDescent="0.25">
      <c r="A24" s="17" t="s">
        <v>690</v>
      </c>
    </row>
    <row r="25" spans="1:1" x14ac:dyDescent="0.25">
      <c r="A25" s="17" t="s">
        <v>691</v>
      </c>
    </row>
    <row r="26" spans="1:1" x14ac:dyDescent="0.25">
      <c r="A26" s="17" t="s">
        <v>692</v>
      </c>
    </row>
    <row r="27" spans="1:1" x14ac:dyDescent="0.25">
      <c r="A27" s="17" t="s">
        <v>693</v>
      </c>
    </row>
    <row r="28" spans="1:1" x14ac:dyDescent="0.25">
      <c r="A28" s="17" t="s">
        <v>694</v>
      </c>
    </row>
    <row r="29" spans="1:1" x14ac:dyDescent="0.25">
      <c r="A29" s="17" t="s">
        <v>695</v>
      </c>
    </row>
    <row r="30" spans="1:1" x14ac:dyDescent="0.25">
      <c r="A30" s="17" t="s">
        <v>696</v>
      </c>
    </row>
    <row r="31" spans="1:1" x14ac:dyDescent="0.25">
      <c r="A31" s="17" t="s">
        <v>697</v>
      </c>
    </row>
    <row r="32" spans="1:1" x14ac:dyDescent="0.25">
      <c r="A32" s="17" t="s">
        <v>698</v>
      </c>
    </row>
    <row r="33" spans="1:1" x14ac:dyDescent="0.25">
      <c r="A33" s="17" t="s">
        <v>699</v>
      </c>
    </row>
    <row r="34" spans="1:1" x14ac:dyDescent="0.25">
      <c r="A34" s="17" t="s">
        <v>700</v>
      </c>
    </row>
    <row r="35" spans="1:1" x14ac:dyDescent="0.25">
      <c r="A35" s="17" t="s">
        <v>701</v>
      </c>
    </row>
    <row r="36" spans="1:1" x14ac:dyDescent="0.25">
      <c r="A36" s="17" t="s">
        <v>702</v>
      </c>
    </row>
    <row r="37" spans="1:1" x14ac:dyDescent="0.25">
      <c r="A37" s="17" t="s">
        <v>703</v>
      </c>
    </row>
    <row r="38" spans="1:1" x14ac:dyDescent="0.25">
      <c r="A38" s="17" t="s">
        <v>704</v>
      </c>
    </row>
    <row r="39" spans="1:1" x14ac:dyDescent="0.25">
      <c r="A39" s="17" t="s">
        <v>705</v>
      </c>
    </row>
    <row r="40" spans="1:1" x14ac:dyDescent="0.25">
      <c r="A40" s="17" t="s">
        <v>706</v>
      </c>
    </row>
    <row r="41" spans="1:1" x14ac:dyDescent="0.25">
      <c r="A41" s="17" t="s">
        <v>707</v>
      </c>
    </row>
    <row r="42" spans="1:1" x14ac:dyDescent="0.25">
      <c r="A42" s="17" t="s">
        <v>708</v>
      </c>
    </row>
    <row r="43" spans="1:1" x14ac:dyDescent="0.25">
      <c r="A43" s="17" t="s">
        <v>709</v>
      </c>
    </row>
    <row r="44" spans="1:1" x14ac:dyDescent="0.25">
      <c r="A44" s="17" t="s">
        <v>710</v>
      </c>
    </row>
    <row r="45" spans="1:1" x14ac:dyDescent="0.25">
      <c r="A45" s="17" t="s">
        <v>711</v>
      </c>
    </row>
    <row r="46" spans="1:1" x14ac:dyDescent="0.25">
      <c r="A46" s="17" t="s">
        <v>712</v>
      </c>
    </row>
    <row r="47" spans="1:1" x14ac:dyDescent="0.25">
      <c r="A47" s="17" t="s">
        <v>713</v>
      </c>
    </row>
    <row r="48" spans="1:1" x14ac:dyDescent="0.25">
      <c r="A48" s="17" t="s">
        <v>714</v>
      </c>
    </row>
    <row r="49" spans="1:1" x14ac:dyDescent="0.25">
      <c r="A49" s="17" t="s">
        <v>715</v>
      </c>
    </row>
    <row r="50" spans="1:1" x14ac:dyDescent="0.25">
      <c r="A50" s="17" t="s">
        <v>716</v>
      </c>
    </row>
    <row r="51" spans="1:1" x14ac:dyDescent="0.25">
      <c r="A51" s="17" t="s">
        <v>717</v>
      </c>
    </row>
    <row r="52" spans="1:1" x14ac:dyDescent="0.25">
      <c r="A52" s="17" t="s">
        <v>718</v>
      </c>
    </row>
    <row r="53" spans="1:1" x14ac:dyDescent="0.25">
      <c r="A53" s="17" t="s">
        <v>719</v>
      </c>
    </row>
    <row r="54" spans="1:1" x14ac:dyDescent="0.25">
      <c r="A54" s="17" t="s">
        <v>720</v>
      </c>
    </row>
    <row r="55" spans="1:1" x14ac:dyDescent="0.25">
      <c r="A55" s="17" t="s">
        <v>721</v>
      </c>
    </row>
    <row r="56" spans="1:1" x14ac:dyDescent="0.25">
      <c r="A56" s="17" t="s">
        <v>722</v>
      </c>
    </row>
    <row r="57" spans="1:1" x14ac:dyDescent="0.25">
      <c r="A57" s="17" t="s">
        <v>723</v>
      </c>
    </row>
    <row r="58" spans="1:1" x14ac:dyDescent="0.25">
      <c r="A58" s="17" t="s">
        <v>724</v>
      </c>
    </row>
    <row r="59" spans="1:1" x14ac:dyDescent="0.25">
      <c r="A59" s="17" t="s">
        <v>725</v>
      </c>
    </row>
    <row r="60" spans="1:1" x14ac:dyDescent="0.25">
      <c r="A60" s="17" t="s">
        <v>726</v>
      </c>
    </row>
    <row r="61" spans="1:1" x14ac:dyDescent="0.25">
      <c r="A61" s="17" t="s">
        <v>727</v>
      </c>
    </row>
    <row r="62" spans="1:1" x14ac:dyDescent="0.25">
      <c r="A62" s="17" t="s">
        <v>728</v>
      </c>
    </row>
    <row r="63" spans="1:1" x14ac:dyDescent="0.25">
      <c r="A63" s="17" t="s">
        <v>729</v>
      </c>
    </row>
    <row r="64" spans="1:1" x14ac:dyDescent="0.25">
      <c r="A64" s="17" t="s">
        <v>730</v>
      </c>
    </row>
    <row r="65" spans="1:1" x14ac:dyDescent="0.25">
      <c r="A65" s="17" t="s">
        <v>731</v>
      </c>
    </row>
    <row r="66" spans="1:1" x14ac:dyDescent="0.25">
      <c r="A66" s="17" t="s">
        <v>732</v>
      </c>
    </row>
    <row r="67" spans="1:1" x14ac:dyDescent="0.25">
      <c r="A67" s="17" t="s">
        <v>733</v>
      </c>
    </row>
    <row r="68" spans="1:1" x14ac:dyDescent="0.25">
      <c r="A68" s="17" t="s">
        <v>734</v>
      </c>
    </row>
    <row r="69" spans="1:1" x14ac:dyDescent="0.25">
      <c r="A69" s="17" t="s">
        <v>735</v>
      </c>
    </row>
    <row r="70" spans="1:1" x14ac:dyDescent="0.25">
      <c r="A70" s="17" t="s">
        <v>736</v>
      </c>
    </row>
    <row r="71" spans="1:1" x14ac:dyDescent="0.25">
      <c r="A71" s="17" t="s">
        <v>737</v>
      </c>
    </row>
    <row r="72" spans="1:1" x14ac:dyDescent="0.25">
      <c r="A72" s="17" t="s">
        <v>738</v>
      </c>
    </row>
    <row r="73" spans="1:1" x14ac:dyDescent="0.25">
      <c r="A73" s="17" t="s">
        <v>739</v>
      </c>
    </row>
    <row r="74" spans="1:1" x14ac:dyDescent="0.25">
      <c r="A74" s="17" t="s">
        <v>740</v>
      </c>
    </row>
    <row r="75" spans="1:1" x14ac:dyDescent="0.25">
      <c r="A75" s="17" t="s">
        <v>741</v>
      </c>
    </row>
    <row r="76" spans="1:1" x14ac:dyDescent="0.25">
      <c r="A76" s="17" t="s">
        <v>742</v>
      </c>
    </row>
    <row r="77" spans="1:1" x14ac:dyDescent="0.25">
      <c r="A77" s="17" t="s">
        <v>743</v>
      </c>
    </row>
    <row r="78" spans="1:1" x14ac:dyDescent="0.25">
      <c r="A78" s="17" t="s">
        <v>744</v>
      </c>
    </row>
    <row r="79" spans="1:1" x14ac:dyDescent="0.25">
      <c r="A79" s="17" t="s">
        <v>745</v>
      </c>
    </row>
    <row r="80" spans="1:1" x14ac:dyDescent="0.25">
      <c r="A80" s="17" t="s">
        <v>746</v>
      </c>
    </row>
    <row r="81" spans="1:1" x14ac:dyDescent="0.25">
      <c r="A81" s="17" t="s">
        <v>747</v>
      </c>
    </row>
    <row r="82" spans="1:1" x14ac:dyDescent="0.25">
      <c r="A82" s="17" t="s">
        <v>748</v>
      </c>
    </row>
    <row r="83" spans="1:1" x14ac:dyDescent="0.25">
      <c r="A83" s="17" t="s">
        <v>749</v>
      </c>
    </row>
    <row r="84" spans="1:1" x14ac:dyDescent="0.25">
      <c r="A84" s="17" t="s">
        <v>750</v>
      </c>
    </row>
    <row r="85" spans="1:1" x14ac:dyDescent="0.25">
      <c r="A85" s="17" t="s">
        <v>751</v>
      </c>
    </row>
    <row r="86" spans="1:1" x14ac:dyDescent="0.25">
      <c r="A86" s="17" t="s">
        <v>752</v>
      </c>
    </row>
    <row r="87" spans="1:1" x14ac:dyDescent="0.25">
      <c r="A87" s="17" t="s">
        <v>753</v>
      </c>
    </row>
    <row r="88" spans="1:1" x14ac:dyDescent="0.25">
      <c r="A88" s="17" t="s">
        <v>754</v>
      </c>
    </row>
    <row r="89" spans="1:1" x14ac:dyDescent="0.25">
      <c r="A89" s="17" t="s">
        <v>755</v>
      </c>
    </row>
    <row r="90" spans="1:1" x14ac:dyDescent="0.25">
      <c r="A90" s="17" t="s">
        <v>756</v>
      </c>
    </row>
    <row r="91" spans="1:1" x14ac:dyDescent="0.25">
      <c r="A91" s="17" t="s">
        <v>757</v>
      </c>
    </row>
    <row r="92" spans="1:1" x14ac:dyDescent="0.25">
      <c r="A92" s="17" t="s">
        <v>758</v>
      </c>
    </row>
    <row r="93" spans="1:1" x14ac:dyDescent="0.25">
      <c r="A93" s="17" t="s">
        <v>759</v>
      </c>
    </row>
    <row r="94" spans="1:1" x14ac:dyDescent="0.25">
      <c r="A94" s="17" t="s">
        <v>760</v>
      </c>
    </row>
    <row r="95" spans="1:1" x14ac:dyDescent="0.25">
      <c r="A95" s="17" t="s">
        <v>761</v>
      </c>
    </row>
    <row r="96" spans="1:1" x14ac:dyDescent="0.25">
      <c r="A96" s="17" t="s">
        <v>762</v>
      </c>
    </row>
    <row r="97" spans="1:2" x14ac:dyDescent="0.25">
      <c r="A97" s="17" t="s">
        <v>763</v>
      </c>
    </row>
    <row r="98" spans="1:2" x14ac:dyDescent="0.25">
      <c r="A98" s="17" t="s">
        <v>764</v>
      </c>
    </row>
    <row r="99" spans="1:2" x14ac:dyDescent="0.25">
      <c r="A99" s="17" t="s">
        <v>765</v>
      </c>
    </row>
    <row r="100" spans="1:2" x14ac:dyDescent="0.25">
      <c r="A100" s="17" t="s">
        <v>766</v>
      </c>
    </row>
    <row r="101" spans="1:2" x14ac:dyDescent="0.25">
      <c r="A101" s="17" t="s">
        <v>767</v>
      </c>
    </row>
    <row r="102" spans="1:2" x14ac:dyDescent="0.25">
      <c r="A102" s="17" t="s">
        <v>768</v>
      </c>
    </row>
    <row r="103" spans="1:2" x14ac:dyDescent="0.25">
      <c r="A103" s="17" t="s">
        <v>769</v>
      </c>
    </row>
    <row r="104" spans="1:2" x14ac:dyDescent="0.25">
      <c r="A104" s="17" t="s">
        <v>770</v>
      </c>
    </row>
    <row r="105" spans="1:2" x14ac:dyDescent="0.25">
      <c r="B105" s="17" t="s">
        <v>615</v>
      </c>
    </row>
    <row r="106" spans="1:2" x14ac:dyDescent="0.25">
      <c r="A106" s="17" t="s">
        <v>1103</v>
      </c>
    </row>
    <row r="107" spans="1:2" x14ac:dyDescent="0.25">
      <c r="A107" s="17" t="s">
        <v>1104</v>
      </c>
    </row>
    <row r="108" spans="1:2" x14ac:dyDescent="0.25">
      <c r="A108" s="17" t="s">
        <v>1105</v>
      </c>
    </row>
    <row r="109" spans="1:2" x14ac:dyDescent="0.25">
      <c r="A109" s="17" t="s">
        <v>1106</v>
      </c>
    </row>
    <row r="110" spans="1:2" x14ac:dyDescent="0.25">
      <c r="B110" s="17" t="s">
        <v>1004</v>
      </c>
    </row>
    <row r="111" spans="1:2" x14ac:dyDescent="0.25">
      <c r="A111" s="17" t="s">
        <v>1107</v>
      </c>
    </row>
    <row r="112" spans="1:2" x14ac:dyDescent="0.25">
      <c r="A112" s="17" t="s">
        <v>1108</v>
      </c>
    </row>
    <row r="113" spans="1:1" x14ac:dyDescent="0.25">
      <c r="A113" s="17" t="s">
        <v>1109</v>
      </c>
    </row>
    <row r="114" spans="1:1" x14ac:dyDescent="0.25">
      <c r="A114" s="17" t="s">
        <v>1110</v>
      </c>
    </row>
    <row r="115" spans="1:1" x14ac:dyDescent="0.25">
      <c r="A115" s="17" t="s">
        <v>1111</v>
      </c>
    </row>
    <row r="116" spans="1:1" x14ac:dyDescent="0.25">
      <c r="A116" s="17" t="s">
        <v>1112</v>
      </c>
    </row>
    <row r="117" spans="1:1" x14ac:dyDescent="0.25">
      <c r="A117" s="17" t="s">
        <v>1113</v>
      </c>
    </row>
    <row r="118" spans="1:1" x14ac:dyDescent="0.25">
      <c r="A118" s="17" t="s">
        <v>26</v>
      </c>
    </row>
    <row r="119" spans="1:1" x14ac:dyDescent="0.25">
      <c r="A119" s="17" t="s">
        <v>1114</v>
      </c>
    </row>
    <row r="120" spans="1:1" x14ac:dyDescent="0.25">
      <c r="A120" s="17" t="s">
        <v>1115</v>
      </c>
    </row>
    <row r="121" spans="1:1" x14ac:dyDescent="0.25">
      <c r="A121" s="17" t="s">
        <v>1116</v>
      </c>
    </row>
    <row r="122" spans="1:1" x14ac:dyDescent="0.25">
      <c r="A122" s="17" t="s">
        <v>1117</v>
      </c>
    </row>
    <row r="123" spans="1:1" x14ac:dyDescent="0.25">
      <c r="A123" s="17" t="s">
        <v>1118</v>
      </c>
    </row>
    <row r="124" spans="1:1" x14ac:dyDescent="0.25">
      <c r="A124" s="17" t="s">
        <v>1119</v>
      </c>
    </row>
    <row r="125" spans="1:1" x14ac:dyDescent="0.25">
      <c r="A125" s="17" t="s">
        <v>1120</v>
      </c>
    </row>
    <row r="126" spans="1:1" x14ac:dyDescent="0.25">
      <c r="A126" s="17" t="s">
        <v>1121</v>
      </c>
    </row>
    <row r="127" spans="1:1" x14ac:dyDescent="0.25">
      <c r="A127" s="17" t="s">
        <v>1122</v>
      </c>
    </row>
    <row r="128" spans="1:1" x14ac:dyDescent="0.25">
      <c r="A128" s="17" t="s">
        <v>1123</v>
      </c>
    </row>
    <row r="129" spans="1:2" x14ac:dyDescent="0.25">
      <c r="A129" s="17" t="s">
        <v>1124</v>
      </c>
    </row>
    <row r="130" spans="1:2" x14ac:dyDescent="0.25">
      <c r="A130" s="17" t="s">
        <v>1125</v>
      </c>
    </row>
    <row r="131" spans="1:2" x14ac:dyDescent="0.25">
      <c r="A131" s="17" t="s">
        <v>1126</v>
      </c>
    </row>
    <row r="132" spans="1:2" x14ac:dyDescent="0.25">
      <c r="A132" s="17" t="s">
        <v>1127</v>
      </c>
    </row>
    <row r="133" spans="1:2" x14ac:dyDescent="0.25">
      <c r="A133" s="17" t="s">
        <v>1128</v>
      </c>
    </row>
    <row r="134" spans="1:2" x14ac:dyDescent="0.25">
      <c r="A134" s="17" t="s">
        <v>1129</v>
      </c>
    </row>
    <row r="135" spans="1:2" x14ac:dyDescent="0.25">
      <c r="A135" s="17" t="s">
        <v>1130</v>
      </c>
    </row>
    <row r="136" spans="1:2" x14ac:dyDescent="0.25">
      <c r="A136" s="17" t="s">
        <v>1131</v>
      </c>
    </row>
    <row r="137" spans="1:2" x14ac:dyDescent="0.25">
      <c r="A137" s="17" t="s">
        <v>1132</v>
      </c>
    </row>
    <row r="138" spans="1:2" x14ac:dyDescent="0.25">
      <c r="A138" s="17" t="s">
        <v>1133</v>
      </c>
    </row>
    <row r="139" spans="1:2" x14ac:dyDescent="0.25">
      <c r="A139" s="17" t="s">
        <v>1134</v>
      </c>
    </row>
    <row r="140" spans="1:2" x14ac:dyDescent="0.25">
      <c r="A140" s="17" t="s">
        <v>1135</v>
      </c>
    </row>
    <row r="141" spans="1:2" x14ac:dyDescent="0.25">
      <c r="A141" s="17" t="s">
        <v>1136</v>
      </c>
    </row>
    <row r="142" spans="1:2" x14ac:dyDescent="0.25">
      <c r="A142" s="17" t="s">
        <v>1137</v>
      </c>
    </row>
    <row r="143" spans="1:2" x14ac:dyDescent="0.25">
      <c r="B143" s="17" t="s">
        <v>1094</v>
      </c>
    </row>
    <row r="144" spans="1:2" x14ac:dyDescent="0.25">
      <c r="A144" s="17" t="s">
        <v>1138</v>
      </c>
    </row>
    <row r="145" spans="1:2" x14ac:dyDescent="0.25">
      <c r="A145" s="17" t="s">
        <v>1139</v>
      </c>
    </row>
    <row r="146" spans="1:2" x14ac:dyDescent="0.25">
      <c r="A146" s="17" t="s">
        <v>1140</v>
      </c>
    </row>
    <row r="147" spans="1:2" x14ac:dyDescent="0.25">
      <c r="A147" s="17" t="s">
        <v>1141</v>
      </c>
    </row>
    <row r="148" spans="1:2" x14ac:dyDescent="0.25">
      <c r="A148" s="17" t="s">
        <v>1142</v>
      </c>
    </row>
    <row r="149" spans="1:2" x14ac:dyDescent="0.25">
      <c r="A149" s="17" t="s">
        <v>1143</v>
      </c>
    </row>
    <row r="150" spans="1:2" x14ac:dyDescent="0.25">
      <c r="A150" s="17" t="s">
        <v>1144</v>
      </c>
    </row>
    <row r="151" spans="1:2" x14ac:dyDescent="0.25">
      <c r="A151" s="17" t="s">
        <v>1145</v>
      </c>
    </row>
    <row r="152" spans="1:2" x14ac:dyDescent="0.25">
      <c r="A152" s="17" t="s">
        <v>1146</v>
      </c>
    </row>
    <row r="153" spans="1:2" x14ac:dyDescent="0.25">
      <c r="B153" s="17" t="s">
        <v>1067</v>
      </c>
    </row>
    <row r="154" spans="1:2" x14ac:dyDescent="0.25">
      <c r="A154" s="17" t="s">
        <v>1147</v>
      </c>
    </row>
    <row r="155" spans="1:2" x14ac:dyDescent="0.25">
      <c r="A155" s="17" t="s">
        <v>1148</v>
      </c>
    </row>
    <row r="156" spans="1:2" x14ac:dyDescent="0.25">
      <c r="A156" s="17" t="s">
        <v>1149</v>
      </c>
    </row>
    <row r="157" spans="1:2" x14ac:dyDescent="0.25">
      <c r="A157" s="17" t="s">
        <v>1150</v>
      </c>
    </row>
    <row r="158" spans="1:2" x14ac:dyDescent="0.25">
      <c r="A158" s="17" t="s">
        <v>1151</v>
      </c>
    </row>
    <row r="159" spans="1:2" x14ac:dyDescent="0.25">
      <c r="A159" s="17" t="s">
        <v>1152</v>
      </c>
    </row>
    <row r="160" spans="1:2" x14ac:dyDescent="0.25">
      <c r="A160" s="17" t="s">
        <v>1153</v>
      </c>
    </row>
    <row r="161" spans="1:2" x14ac:dyDescent="0.25">
      <c r="A161" s="17" t="s">
        <v>1154</v>
      </c>
    </row>
    <row r="162" spans="1:2" x14ac:dyDescent="0.25">
      <c r="A162" s="17" t="s">
        <v>1155</v>
      </c>
    </row>
    <row r="163" spans="1:2" x14ac:dyDescent="0.25">
      <c r="B163" s="17" t="s">
        <v>1093</v>
      </c>
    </row>
    <row r="164" spans="1:2" x14ac:dyDescent="0.25">
      <c r="A164" s="17" t="s">
        <v>1156</v>
      </c>
      <c r="B164" s="17" t="s">
        <v>1157</v>
      </c>
    </row>
    <row r="165" spans="1:2" x14ac:dyDescent="0.25">
      <c r="A165" s="17" t="s">
        <v>1158</v>
      </c>
      <c r="B165" s="17" t="s">
        <v>1159</v>
      </c>
    </row>
    <row r="166" spans="1:2" x14ac:dyDescent="0.25">
      <c r="A166" s="17" t="s">
        <v>1160</v>
      </c>
      <c r="B166" s="17" t="s">
        <v>1161</v>
      </c>
    </row>
    <row r="167" spans="1:2" x14ac:dyDescent="0.25">
      <c r="A167" s="17" t="s">
        <v>1162</v>
      </c>
      <c r="B167" s="17" t="s">
        <v>1163</v>
      </c>
    </row>
    <row r="168" spans="1:2" x14ac:dyDescent="0.25">
      <c r="A168" s="17" t="s">
        <v>1164</v>
      </c>
      <c r="B168" s="17" t="s">
        <v>1165</v>
      </c>
    </row>
    <row r="169" spans="1:2" x14ac:dyDescent="0.25">
      <c r="A169" s="17" t="s">
        <v>1166</v>
      </c>
      <c r="B169" s="17" t="s">
        <v>1167</v>
      </c>
    </row>
    <row r="170" spans="1:2" x14ac:dyDescent="0.25">
      <c r="A170" s="17" t="s">
        <v>1168</v>
      </c>
      <c r="B170" s="17" t="s">
        <v>1169</v>
      </c>
    </row>
    <row r="171" spans="1:2" x14ac:dyDescent="0.25">
      <c r="A171" s="17" t="s">
        <v>1170</v>
      </c>
      <c r="B171" s="17" t="s">
        <v>1171</v>
      </c>
    </row>
    <row r="172" spans="1:2" x14ac:dyDescent="0.25">
      <c r="A172" s="17" t="s">
        <v>1172</v>
      </c>
      <c r="B172" s="17" t="s">
        <v>1173</v>
      </c>
    </row>
    <row r="173" spans="1:2" x14ac:dyDescent="0.25">
      <c r="A173" s="17" t="s">
        <v>1174</v>
      </c>
      <c r="B173" s="17" t="s">
        <v>1175</v>
      </c>
    </row>
    <row r="174" spans="1:2" x14ac:dyDescent="0.25">
      <c r="A174" s="17" t="s">
        <v>1176</v>
      </c>
      <c r="B174" s="17" t="s">
        <v>1177</v>
      </c>
    </row>
    <row r="175" spans="1:2" x14ac:dyDescent="0.25">
      <c r="A175" s="17" t="s">
        <v>1178</v>
      </c>
      <c r="B175" s="17" t="s">
        <v>1179</v>
      </c>
    </row>
    <row r="176" spans="1:2" x14ac:dyDescent="0.25">
      <c r="A176" s="17" t="s">
        <v>26</v>
      </c>
      <c r="B176" s="17" t="s">
        <v>1180</v>
      </c>
    </row>
    <row r="177" spans="1:2" x14ac:dyDescent="0.25">
      <c r="A177" s="17" t="s">
        <v>1181</v>
      </c>
      <c r="B177" s="17" t="s">
        <v>1182</v>
      </c>
    </row>
    <row r="178" spans="1:2" x14ac:dyDescent="0.25">
      <c r="A178" s="17" t="s">
        <v>1183</v>
      </c>
      <c r="B178" s="17" t="s">
        <v>1184</v>
      </c>
    </row>
    <row r="179" spans="1:2" x14ac:dyDescent="0.25">
      <c r="A179" s="17" t="s">
        <v>1185</v>
      </c>
      <c r="B179" s="17" t="s">
        <v>1186</v>
      </c>
    </row>
    <row r="180" spans="1:2" x14ac:dyDescent="0.25">
      <c r="A180" s="17" t="s">
        <v>1187</v>
      </c>
      <c r="B180" s="17" t="s">
        <v>1188</v>
      </c>
    </row>
    <row r="181" spans="1:2" x14ac:dyDescent="0.25">
      <c r="A181" s="17" t="s">
        <v>1189</v>
      </c>
      <c r="B181" s="17" t="s">
        <v>1190</v>
      </c>
    </row>
    <row r="182" spans="1:2" x14ac:dyDescent="0.25">
      <c r="A182" s="17" t="s">
        <v>1191</v>
      </c>
      <c r="B182" s="17" t="s">
        <v>1192</v>
      </c>
    </row>
    <row r="183" spans="1:2" x14ac:dyDescent="0.25">
      <c r="A183" s="17" t="s">
        <v>1193</v>
      </c>
      <c r="B183" s="17" t="s">
        <v>1194</v>
      </c>
    </row>
    <row r="184" spans="1:2" x14ac:dyDescent="0.25">
      <c r="A184" s="17" t="s">
        <v>1195</v>
      </c>
      <c r="B184" s="17" t="s">
        <v>618</v>
      </c>
    </row>
    <row r="185" spans="1:2" x14ac:dyDescent="0.25">
      <c r="A185" s="17" t="s">
        <v>1196</v>
      </c>
      <c r="B185" s="17" t="s">
        <v>1197</v>
      </c>
    </row>
    <row r="186" spans="1:2" x14ac:dyDescent="0.25">
      <c r="A186" s="17" t="s">
        <v>1198</v>
      </c>
      <c r="B186" s="17" t="s">
        <v>1199</v>
      </c>
    </row>
    <row r="187" spans="1:2" x14ac:dyDescent="0.25">
      <c r="A187" s="17" t="s">
        <v>1200</v>
      </c>
      <c r="B187" s="17" t="s">
        <v>1201</v>
      </c>
    </row>
    <row r="188" spans="1:2" x14ac:dyDescent="0.25">
      <c r="A188" s="17" t="s">
        <v>1202</v>
      </c>
      <c r="B188" s="17" t="s">
        <v>617</v>
      </c>
    </row>
    <row r="189" spans="1:2" x14ac:dyDescent="0.25">
      <c r="A189" s="17" t="s">
        <v>1203</v>
      </c>
      <c r="B189" s="17" t="s">
        <v>1204</v>
      </c>
    </row>
    <row r="190" spans="1:2" x14ac:dyDescent="0.25">
      <c r="A190" s="17" t="s">
        <v>1205</v>
      </c>
      <c r="B190" s="17" t="s">
        <v>1206</v>
      </c>
    </row>
    <row r="191" spans="1:2" x14ac:dyDescent="0.25">
      <c r="A191" s="17" t="s">
        <v>1207</v>
      </c>
      <c r="B191" s="17" t="s">
        <v>1208</v>
      </c>
    </row>
    <row r="192" spans="1:2" x14ac:dyDescent="0.25">
      <c r="A192" s="17" t="s">
        <v>1209</v>
      </c>
      <c r="B192" s="17" t="s">
        <v>1210</v>
      </c>
    </row>
    <row r="193" spans="1:2" x14ac:dyDescent="0.25">
      <c r="A193" s="17" t="s">
        <v>1211</v>
      </c>
      <c r="B193" s="17" t="s">
        <v>1212</v>
      </c>
    </row>
    <row r="194" spans="1:2" x14ac:dyDescent="0.25">
      <c r="A194" s="17" t="s">
        <v>1213</v>
      </c>
      <c r="B194" s="17" t="s">
        <v>1214</v>
      </c>
    </row>
    <row r="195" spans="1:2" x14ac:dyDescent="0.25">
      <c r="A195" s="17" t="s">
        <v>1215</v>
      </c>
      <c r="B195" s="17" t="s">
        <v>1216</v>
      </c>
    </row>
    <row r="196" spans="1:2" x14ac:dyDescent="0.25">
      <c r="A196" s="17" t="s">
        <v>53</v>
      </c>
      <c r="B196" s="17" t="s">
        <v>619</v>
      </c>
    </row>
    <row r="197" spans="1:2" x14ac:dyDescent="0.25">
      <c r="A197" s="17" t="s">
        <v>1217</v>
      </c>
      <c r="B197" s="17" t="s">
        <v>1218</v>
      </c>
    </row>
    <row r="198" spans="1:2" x14ac:dyDescent="0.25">
      <c r="A198" s="17" t="s">
        <v>632</v>
      </c>
      <c r="B198" s="17" t="s">
        <v>361</v>
      </c>
    </row>
    <row r="199" spans="1:2" x14ac:dyDescent="0.25">
      <c r="A199" s="17" t="s">
        <v>1219</v>
      </c>
      <c r="B199" s="17" t="s">
        <v>787</v>
      </c>
    </row>
    <row r="200" spans="1:2" x14ac:dyDescent="0.25">
      <c r="A200" s="17" t="s">
        <v>1220</v>
      </c>
      <c r="B200" s="17" t="s">
        <v>788</v>
      </c>
    </row>
    <row r="201" spans="1:2" x14ac:dyDescent="0.25">
      <c r="A201" s="17" t="s">
        <v>633</v>
      </c>
    </row>
    <row r="202" spans="1:2" x14ac:dyDescent="0.25">
      <c r="A202" s="17" t="s">
        <v>634</v>
      </c>
    </row>
    <row r="203" spans="1:2" x14ac:dyDescent="0.25">
      <c r="A203" s="17" t="s">
        <v>635</v>
      </c>
    </row>
    <row r="204" spans="1:2" x14ac:dyDescent="0.25">
      <c r="A204" s="17" t="s">
        <v>1221</v>
      </c>
    </row>
    <row r="205" spans="1:2" x14ac:dyDescent="0.25">
      <c r="A205" s="17" t="s">
        <v>636</v>
      </c>
    </row>
    <row r="206" spans="1:2" x14ac:dyDescent="0.25">
      <c r="A206" s="17" t="s">
        <v>637</v>
      </c>
    </row>
    <row r="207" spans="1:2" x14ac:dyDescent="0.25">
      <c r="A207" s="17" t="s">
        <v>638</v>
      </c>
    </row>
    <row r="208" spans="1:2" x14ac:dyDescent="0.25">
      <c r="A208" s="17" t="s">
        <v>639</v>
      </c>
    </row>
    <row r="209" spans="1:1" x14ac:dyDescent="0.25">
      <c r="A209" s="17" t="s">
        <v>640</v>
      </c>
    </row>
    <row r="210" spans="1:1" x14ac:dyDescent="0.25">
      <c r="A210" s="17" t="s">
        <v>641</v>
      </c>
    </row>
    <row r="211" spans="1:1" x14ac:dyDescent="0.25">
      <c r="A211" s="17" t="s">
        <v>642</v>
      </c>
    </row>
    <row r="212" spans="1:1" x14ac:dyDescent="0.25">
      <c r="A212" s="17" t="s">
        <v>1222</v>
      </c>
    </row>
    <row r="213" spans="1:1" x14ac:dyDescent="0.25">
      <c r="A213" s="17" t="s">
        <v>1223</v>
      </c>
    </row>
    <row r="214" spans="1:1" x14ac:dyDescent="0.25">
      <c r="A214" s="17" t="s">
        <v>643</v>
      </c>
    </row>
    <row r="215" spans="1:1" x14ac:dyDescent="0.25">
      <c r="A215" s="17" t="s">
        <v>644</v>
      </c>
    </row>
    <row r="216" spans="1:1" x14ac:dyDescent="0.25">
      <c r="A216" s="17" t="s">
        <v>645</v>
      </c>
    </row>
    <row r="217" spans="1:1" x14ac:dyDescent="0.25">
      <c r="A217" s="17" t="s">
        <v>646</v>
      </c>
    </row>
    <row r="218" spans="1:1" x14ac:dyDescent="0.25">
      <c r="A218" s="17" t="s">
        <v>1224</v>
      </c>
    </row>
    <row r="219" spans="1:1" x14ac:dyDescent="0.25">
      <c r="A219" s="17" t="s">
        <v>1225</v>
      </c>
    </row>
    <row r="220" spans="1:1" x14ac:dyDescent="0.25">
      <c r="A220" s="17" t="s">
        <v>1226</v>
      </c>
    </row>
    <row r="221" spans="1:1" x14ac:dyDescent="0.25">
      <c r="A221" s="17" t="s">
        <v>1227</v>
      </c>
    </row>
    <row r="222" spans="1:1" x14ac:dyDescent="0.25">
      <c r="A222" s="17" t="s">
        <v>1228</v>
      </c>
    </row>
    <row r="223" spans="1:1" x14ac:dyDescent="0.25">
      <c r="A223" s="17" t="s">
        <v>1229</v>
      </c>
    </row>
    <row r="224" spans="1:1" x14ac:dyDescent="0.25">
      <c r="A224" s="17" t="s">
        <v>1230</v>
      </c>
    </row>
    <row r="225" spans="1:1" x14ac:dyDescent="0.25">
      <c r="A225" s="17" t="s">
        <v>1231</v>
      </c>
    </row>
    <row r="226" spans="1:1" x14ac:dyDescent="0.25">
      <c r="A226" s="17" t="s">
        <v>1232</v>
      </c>
    </row>
    <row r="227" spans="1:1" x14ac:dyDescent="0.25">
      <c r="A227" s="17" t="s">
        <v>1233</v>
      </c>
    </row>
    <row r="228" spans="1:1" x14ac:dyDescent="0.25">
      <c r="A228" s="17" t="s">
        <v>1234</v>
      </c>
    </row>
    <row r="229" spans="1:1" x14ac:dyDescent="0.25">
      <c r="A229" s="17" t="s">
        <v>1235</v>
      </c>
    </row>
    <row r="230" spans="1:1" x14ac:dyDescent="0.25">
      <c r="A230" s="17" t="s">
        <v>1236</v>
      </c>
    </row>
    <row r="231" spans="1:1" x14ac:dyDescent="0.25">
      <c r="A231" s="17" t="s">
        <v>1237</v>
      </c>
    </row>
    <row r="232" spans="1:1" x14ac:dyDescent="0.25">
      <c r="A232" s="17" t="s">
        <v>1238</v>
      </c>
    </row>
    <row r="233" spans="1:1" x14ac:dyDescent="0.25">
      <c r="A233" s="17" t="s">
        <v>1239</v>
      </c>
    </row>
    <row r="234" spans="1:1" x14ac:dyDescent="0.25">
      <c r="A234" s="17" t="s">
        <v>1240</v>
      </c>
    </row>
    <row r="235" spans="1:1" x14ac:dyDescent="0.25">
      <c r="A235" s="17" t="s">
        <v>647</v>
      </c>
    </row>
    <row r="236" spans="1:1" x14ac:dyDescent="0.25">
      <c r="A236" s="17" t="s">
        <v>648</v>
      </c>
    </row>
    <row r="237" spans="1:1" x14ac:dyDescent="0.25">
      <c r="A237" s="17" t="s">
        <v>649</v>
      </c>
    </row>
    <row r="238" spans="1:1" x14ac:dyDescent="0.25">
      <c r="A238" s="17" t="s">
        <v>650</v>
      </c>
    </row>
    <row r="239" spans="1:1" x14ac:dyDescent="0.25">
      <c r="A239" s="17" t="s">
        <v>651</v>
      </c>
    </row>
    <row r="240" spans="1:1" x14ac:dyDescent="0.25">
      <c r="A240" s="17" t="s">
        <v>652</v>
      </c>
    </row>
    <row r="241" spans="1:1" x14ac:dyDescent="0.25">
      <c r="A241" s="17" t="s">
        <v>653</v>
      </c>
    </row>
    <row r="242" spans="1:1" x14ac:dyDescent="0.25">
      <c r="A242" s="17" t="s">
        <v>654</v>
      </c>
    </row>
    <row r="243" spans="1:1" x14ac:dyDescent="0.25">
      <c r="A243" s="17" t="s">
        <v>655</v>
      </c>
    </row>
    <row r="244" spans="1:1" x14ac:dyDescent="0.25">
      <c r="A244" s="17" t="s">
        <v>1241</v>
      </c>
    </row>
    <row r="245" spans="1:1" x14ac:dyDescent="0.25">
      <c r="A245" s="17" t="s">
        <v>656</v>
      </c>
    </row>
    <row r="246" spans="1:1" x14ac:dyDescent="0.25">
      <c r="A246" s="17" t="s">
        <v>657</v>
      </c>
    </row>
    <row r="247" spans="1:1" x14ac:dyDescent="0.25">
      <c r="A247" s="17" t="s">
        <v>658</v>
      </c>
    </row>
    <row r="248" spans="1:1" x14ac:dyDescent="0.25">
      <c r="A248" s="17" t="s">
        <v>659</v>
      </c>
    </row>
    <row r="249" spans="1:1" x14ac:dyDescent="0.25">
      <c r="A249" s="17" t="s">
        <v>660</v>
      </c>
    </row>
    <row r="250" spans="1:1" x14ac:dyDescent="0.25">
      <c r="A250" s="17" t="s">
        <v>661</v>
      </c>
    </row>
    <row r="251" spans="1:1" x14ac:dyDescent="0.25">
      <c r="A251" s="17" t="s">
        <v>662</v>
      </c>
    </row>
    <row r="252" spans="1:1" x14ac:dyDescent="0.25">
      <c r="A252" s="17" t="s">
        <v>663</v>
      </c>
    </row>
    <row r="253" spans="1:1" x14ac:dyDescent="0.25">
      <c r="A253" s="17" t="s">
        <v>1242</v>
      </c>
    </row>
    <row r="254" spans="1:1" x14ac:dyDescent="0.25">
      <c r="A254" s="17" t="s">
        <v>1243</v>
      </c>
    </row>
    <row r="255" spans="1:1" x14ac:dyDescent="0.25">
      <c r="A255" s="17" t="s">
        <v>664</v>
      </c>
    </row>
    <row r="256" spans="1:1" x14ac:dyDescent="0.25">
      <c r="A256" s="17" t="s">
        <v>665</v>
      </c>
    </row>
    <row r="257" spans="1:2" x14ac:dyDescent="0.25">
      <c r="A257" s="17" t="s">
        <v>666</v>
      </c>
    </row>
    <row r="258" spans="1:2" x14ac:dyDescent="0.25">
      <c r="A258" s="17" t="s">
        <v>667</v>
      </c>
    </row>
    <row r="259" spans="1:2" x14ac:dyDescent="0.25">
      <c r="A259" s="17" t="s">
        <v>1244</v>
      </c>
    </row>
    <row r="260" spans="1:2" x14ac:dyDescent="0.25">
      <c r="A260" s="17" t="s">
        <v>668</v>
      </c>
    </row>
    <row r="261" spans="1:2" x14ac:dyDescent="0.25">
      <c r="A261" s="17" t="s">
        <v>669</v>
      </c>
    </row>
    <row r="262" spans="1:2" x14ac:dyDescent="0.25">
      <c r="A262" s="17" t="s">
        <v>670</v>
      </c>
    </row>
    <row r="263" spans="1:2" x14ac:dyDescent="0.25">
      <c r="A263" s="17" t="s">
        <v>671</v>
      </c>
    </row>
    <row r="264" spans="1:2" x14ac:dyDescent="0.25">
      <c r="A264" s="17" t="s">
        <v>672</v>
      </c>
    </row>
    <row r="265" spans="1:2" x14ac:dyDescent="0.25">
      <c r="A265" s="17" t="s">
        <v>673</v>
      </c>
    </row>
    <row r="266" spans="1:2" x14ac:dyDescent="0.25">
      <c r="A266" s="17" t="s">
        <v>674</v>
      </c>
    </row>
    <row r="267" spans="1:2" x14ac:dyDescent="0.25">
      <c r="B267" s="17" t="s">
        <v>422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3_top.ini</vt:lpstr>
      <vt:lpstr>3_top</vt:lpstr>
      <vt:lpstr>1_dev</vt:lpstr>
      <vt:lpstr>3_win</vt:lpstr>
      <vt:lpstr>4_win_adm</vt:lpstr>
      <vt:lpstr>3_microsoft</vt:lpstr>
      <vt:lpstr>3_coding</vt:lpstr>
      <vt:lpstr>3_launcher_sap</vt:lpstr>
      <vt:lpstr>3_launcher_hs_app</vt:lpstr>
      <vt:lpstr>4_browser_adm</vt:lpstr>
      <vt:lpstr>3_others</vt:lpstr>
      <vt:lpstr>3_saplogon</vt:lpstr>
      <vt:lpstr>HK</vt:lpstr>
      <vt:lpstr>HS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Norman Tinco</dc:creator>
  <cp:keywords/>
  <dc:description/>
  <cp:lastModifiedBy>Norman Tinco</cp:lastModifiedBy>
  <cp:revision/>
  <cp:lastPrinted>2021-01-28T17:39:41Z</cp:lastPrinted>
  <dcterms:created xsi:type="dcterms:W3CDTF">2019-10-14T20:28:49Z</dcterms:created>
  <dcterms:modified xsi:type="dcterms:W3CDTF">2021-02-23T00:28:01Z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68effbed-a8b1-4fea-8790-7e3ecbe6d52b</vt:lpwstr>
  </property>
</Properties>
</file>